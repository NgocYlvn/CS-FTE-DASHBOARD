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991" documentId="8_{F9537D5D-B12A-4A4C-AF40-128E8D45C306}" xr6:coauthVersionLast="47" xr6:coauthVersionMax="47" xr10:uidLastSave="{018253C4-8826-4777-BE3F-3ED241B4CC33}"/>
  <bookViews>
    <workbookView xWindow="-110" yWindow="-110" windowWidth="19420" windowHeight="10300" tabRatio="745" activeTab="1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state="hidden" r:id="rId5"/>
    <sheet name="Customer Volume - HAN" sheetId="17" state="hidden" r:id="rId6"/>
    <sheet name="Customer Volume - HLC" sheetId="18" state="hidden" r:id="rId7"/>
    <sheet name="Customer Volume - HCM" sheetId="19" state="hidden" r:id="rId8"/>
    <sheet name="CS FTE" sheetId="10" r:id="rId9"/>
    <sheet name="C" sheetId="11" r:id="rId10"/>
    <sheet name="A" sheetId="12" r:id="rId11"/>
    <sheet name="S" sheetId="13" r:id="rId12"/>
    <sheet name="E" sheetId="14" r:id="rId13"/>
    <sheet name="Ghi chú" sheetId="20" r:id="rId14"/>
  </sheets>
  <definedNames>
    <definedName name="_xlnm._FilterDatabase" localSheetId="9" hidden="1">'C'!$A$2:$O$75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0" i="5" l="1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6" i="5"/>
  <c r="M4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M14" i="5" l="1"/>
  <c r="M11" i="5"/>
  <c r="M12" i="5"/>
  <c r="M16" i="5"/>
  <c r="M13" i="5"/>
  <c r="M15" i="5"/>
  <c r="M10" i="5"/>
  <c r="M9" i="5"/>
  <c r="M3" i="5"/>
  <c r="M7" i="5"/>
  <c r="M8" i="5"/>
  <c r="M5" i="5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<sst xmlns="http://schemas.openxmlformats.org/spreadsheetml/2006/main" count="1714" uniqueCount="531">
  <si>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</si>
  <si>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</si>
  <si>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</si>
  <si>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</si>
  <si>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</si>
  <si>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</si>
  <si>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</si>
  <si>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</si>
  <si>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</si>
  <si>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</si>
  <si>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</si>
  <si>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</si>
  <si>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</si>
  <si>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</si>
  <si>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</si>
  <si>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</si>
  <si>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</si>
  <si>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</si>
  <si>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</si>
  <si>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</si>
  <si>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</si>
  <si>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</si>
  <si>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</si>
  <si>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</si>
  <si>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</si>
  <si>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</si>
  <si>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</si>
  <si>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</si>
  <si>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</si>
  <si>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</si>
  <si>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</si>
  <si>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</si>
  <si>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</si>
  <si>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</si>
  <si>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</si>
  <si>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</si>
  <si>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</si>
  <si>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</si>
  <si>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</si>
  <si>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</si>
  <si>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</si>
  <si>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</si>
  <si>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</si>
  <si>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</si>
  <si>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</si>
  <si>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</si>
  <si>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</si>
  <si>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</si>
  <si>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</si>
  <si>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</si>
  <si>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</si>
  <si>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</si>
  <si>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</si>
  <si>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</si>
  <si>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</si>
  <si>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</si>
  <si>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</si>
  <si>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</si>
  <si>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</si>
  <si>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</si>
  <si>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</si>
  <si>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</si>
  <si>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</si>
  <si>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</si>
  <si>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</si>
  <si>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</si>
  <si>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</si>
  <si>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</si>
  <si>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</si>
  <si>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</si>
  <si>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</si>
  <si>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</si>
  <si>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</si>
  <si>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</si>
  <si>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</si>
  <si>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</si>
  <si>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</si>
  <si>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</si>
  <si>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</si>
  <si>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</si>
  <si>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</si>
  <si>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</si>
  <si>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</si>
  <si>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</si>
  <si>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</si>
  <si>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</si>
  <si>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</si>
  <si>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</si>
  <si>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</si>
  <si>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</si>
  <si>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</si>
  <si>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</si>
  <si>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</si>
  <si>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</si>
  <si>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</si>
  <si>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</si>
  <si>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</si>
  <si>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</si>
  <si>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</si>
  <si>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</si>
  <si>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</si>
  <si>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</si>
  <si>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</si>
  <si>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</si>
  <si>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</si>
  <si>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</si>
  <si>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</si>
  <si>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</si>
  <si>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</si>
  <si>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</si>
  <si>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</si>
  <si>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</si>
  <si>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</si>
  <si>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</si>
  <si>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</si>
  <si>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</si>
  <si>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</si>
  <si>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</si>
  <si>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</si>
  <si>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</si>
  <si>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</si>
  <si>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</si>
  <si>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</si>
  <si>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</si>
  <si>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</si>
  <si>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</si>
  <si>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</si>
  <si>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</si>
  <si>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</si>
  <si>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</si>
  <si>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</si>
  <si>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</si>
  <si>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</si>
  <si>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</si>
  <si>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</si>
  <si>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</si>
  <si>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</si>
  <si>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</si>
  <si>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</si>
  <si>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</si>
  <si>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</si>
  <si>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</si>
  <si>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</si>
  <si>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</si>
  <si>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</si>
  <si>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</si>
  <si>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</si>
  <si>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</si>
  <si>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</si>
  <si>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</si>
  <si>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</si>
  <si>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</si>
  <si>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</si>
  <si>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</si>
  <si>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</si>
  <si>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</si>
  <si>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</si>
  <si>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</si>
  <si>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</si>
  <si>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</si>
  <si>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</si>
  <si>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</si>
  <si>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</si>
  <si>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</si>
  <si>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</si>
  <si>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</si>
  <si>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</si>
  <si>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</si>
  <si>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</si>
  <si>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</si>
  <si>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</si>
  <si>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</si>
  <si>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</si>
  <si>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</si>
  <si>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</si>
  <si>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</si>
  <si>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</si>
  <si>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</si>
  <si>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</si>
  <si>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</si>
  <si>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</si>
  <si>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</si>
  <si>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</si>
  <si>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</si>
  <si>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</si>
  <si>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</si>
  <si>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</si>
  <si>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</si>
  <si>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</si>
  <si>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</si>
  <si>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</si>
  <si>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</si>
  <si>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</si>
  <si>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</si>
  <si>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</si>
  <si>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</si>
  <si>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</si>
  <si>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</si>
  <si>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</si>
  <si>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</si>
  <si>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</si>
  <si>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</si>
  <si>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</si>
  <si>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</si>
  <si>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</si>
  <si>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</si>
  <si>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</si>
  <si>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</si>
  <si>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</si>
  <si>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</si>
  <si>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</si>
  <si>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</si>
  <si>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</si>
  <si>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</si>
  <si>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</si>
  <si>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</si>
  <si>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</si>
  <si>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</si>
  <si>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</si>
  <si>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</si>
  <si>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</si>
  <si>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</si>
  <si>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</si>
  <si>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</si>
  <si>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</si>
  <si>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</si>
  <si>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</si>
  <si>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</si>
  <si>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</si>
  <si>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</si>
  <si>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</si>
  <si>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</si>
  <si>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</si>
  <si>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</si>
  <si>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</si>
  <si>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</si>
  <si>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</si>
  <si>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</si>
  <si>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</si>
  <si>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</si>
  <si>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</si>
  <si>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</si>
  <si>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</si>
  <si>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</si>
  <si>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</si>
  <si>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</si>
  <si>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</si>
  <si>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</si>
  <si>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</si>
  <si>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</si>
  <si>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</si>
  <si>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</si>
  <si>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</si>
  <si>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</si>
  <si>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</si>
  <si>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</si>
  <si>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</si>
  <si>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</si>
  <si>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</si>
  <si>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</si>
  <si>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</si>
  <si>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</si>
  <si>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</si>
  <si>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</si>
  <si>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</si>
  <si>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</si>
  <si>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</si>
  <si>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</si>
  <si>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</si>
  <si>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</si>
  <si>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</si>
  <si>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</si>
  <si>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</si>
  <si>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</si>
  <si>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</si>
  <si>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</si>
  <si>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</si>
  <si>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</si>
  <si>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</si>
  <si>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</si>
  <si>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</si>
  <si>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</si>
  <si>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</si>
  <si>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</si>
  <si>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</si>
  <si>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</si>
  <si>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</si>
  <si>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</si>
  <si>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</si>
  <si>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</si>
  <si>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</si>
  <si>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</si>
  <si>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</si>
  <si>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</si>
  <si>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</si>
  <si>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</si>
  <si>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</si>
  <si>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</si>
  <si>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</si>
  <si>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</si>
  <si>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</si>
  <si>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</si>
  <si>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</si>
  <si>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</si>
  <si>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</si>
  <si>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</si>
  <si>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</si>
  <si>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</si>
  <si>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</si>
  <si>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</si>
  <si>
    <t>BU Workload Share (%)</t>
  </si>
  <si>
    <t>1 FTE/tháng = 8 giờ × 95% × 22 ngày = 167.2 giờ/tháng = 10,032 phút/tháng.</t>
  </si>
  <si>
    <t>Mode</t>
  </si>
  <si>
    <t>AIR IMPORT</t>
  </si>
  <si>
    <t xml:space="preserve">AIR EXPORT </t>
  </si>
  <si>
    <t>SEA IMPORT</t>
  </si>
  <si>
    <t>DOMESTIC IMPORT</t>
  </si>
  <si>
    <t>DOMESTIC EXPORT</t>
  </si>
  <si>
    <t xml:space="preserve"> INLAND FROM POINT A TO POINT B ONLY </t>
  </si>
  <si>
    <t>CROSSBORDER EXPORT</t>
  </si>
  <si>
    <t>CROSSBORDER  IMPORT</t>
  </si>
  <si>
    <t>HANDCARRY EXPORT</t>
  </si>
  <si>
    <t>HANDCARRY IMPORT</t>
  </si>
  <si>
    <t>RAIL EXPORT</t>
  </si>
  <si>
    <t>RAIL IMPORT</t>
  </si>
  <si>
    <t>RAIL DOMESTIC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</si>
  <si>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</si>
  <si>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</si>
  <si>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</si>
  <si>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</si>
  <si>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</si>
  <si>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</si>
  <si>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</si>
  <si>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</si>
  <si>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</si>
  <si>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</si>
  <si>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</si>
  <si>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</si>
  <si>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</si>
  <si>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</si>
  <si>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</si>
  <si>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</si>
  <si>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</si>
  <si>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</si>
  <si>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</si>
  <si>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</si>
  <si>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</si>
  <si>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</si>
  <si>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</si>
  <si>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</si>
  <si>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</si>
  <si>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</si>
  <si>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</si>
  <si>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</si>
  <si>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</si>
  <si>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</si>
  <si>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</si>
  <si>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</si>
  <si>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</si>
  <si>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</si>
  <si>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</si>
  <si>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</si>
  <si>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</si>
  <si>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</si>
  <si>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</si>
  <si>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</si>
  <si>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</si>
  <si>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</si>
  <si>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</si>
  <si>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</si>
  <si>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</si>
  <si>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</si>
  <si>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</si>
  <si>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</si>
  <si>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</si>
  <si>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</si>
  <si>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</si>
  <si>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</si>
  <si>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</si>
  <si>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</si>
  <si>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</si>
  <si>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</si>
  <si>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</si>
  <si>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</si>
  <si>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</si>
  <si>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</si>
  <si>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</si>
  <si>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</si>
  <si>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</si>
  <si>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</si>
  <si>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</si>
  <si>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</si>
  <si>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</si>
  <si>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</si>
  <si>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</si>
  <si>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</si>
  <si>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</si>
  <si>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</si>
  <si>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</si>
  <si>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</si>
  <si>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</si>
  <si>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</si>
  <si>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</si>
  <si>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</si>
  <si>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</si>
  <si>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</si>
  <si>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</si>
  <si>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</si>
  <si>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</si>
  <si>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</si>
  <si>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</si>
  <si>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</si>
  <si>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</si>
  <si>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</si>
  <si>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</si>
  <si>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</si>
  <si>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</si>
  <si>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</si>
  <si>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</si>
  <si>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</si>
  <si>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</si>
  <si>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</si>
  <si>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</si>
  <si>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</si>
  <si>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</si>
  <si>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</si>
  <si>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</si>
  <si>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</si>
  <si>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</si>
  <si>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</si>
  <si>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</si>
  <si>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</si>
  <si>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</si>
  <si>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</si>
  <si>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</si>
  <si>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</si>
  <si>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</si>
  <si>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</si>
  <si>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</si>
  <si>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</si>
  <si>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</si>
  <si>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</si>
  <si>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</si>
  <si>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</si>
  <si>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</si>
  <si>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</si>
  <si>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</si>
  <si>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</si>
  <si>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</si>
  <si>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</si>
  <si>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</si>
  <si>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</si>
  <si>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</si>
  <si>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</si>
  <si>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</si>
  <si>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</si>
  <si>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</si>
  <si>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</si>
  <si>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</si>
  <si>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</si>
  <si>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</si>
  <si>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</si>
  <si>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</si>
  <si>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</si>
  <si>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</si>
  <si>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</si>
  <si>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</si>
  <si>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</si>
  <si>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</si>
  <si>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</si>
  <si>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</si>
  <si>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</si>
  <si>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</si>
  <si>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</si>
  <si>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</si>
  <si>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</si>
  <si>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</si>
  <si>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</si>
  <si>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</si>
  <si>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</si>
  <si>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</si>
  <si>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</si>
  <si>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</si>
  <si>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</si>
  <si>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</si>
  <si>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</si>
  <si>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</si>
  <si>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</si>
  <si>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</si>
  <si>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</si>
  <si>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</si>
  <si>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</si>
  <si>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</si>
  <si>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</si>
  <si>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</si>
  <si>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</si>
  <si>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</si>
  <si>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</si>
  <si>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</si>
  <si>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</si>
  <si>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</si>
  <si>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</si>
  <si>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</si>
  <si>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</si>
  <si>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</si>
  <si>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</si>
  <si>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</si>
  <si>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</si>
  <si>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</si>
  <si>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</si>
  <si>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</si>
  <si>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</si>
  <si>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</si>
  <si>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</si>
  <si>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</si>
  <si>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</si>
  <si>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</si>
  <si>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</si>
  <si>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</si>
  <si>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</si>
  <si>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</si>
  <si>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</si>
  <si>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</si>
  <si>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</si>
  <si>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</si>
  <si>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</si>
  <si>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</si>
  <si>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</si>
  <si>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</si>
  <si>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</si>
  <si>
    <t>Required FTE = Total Workload (phút) ÷ [FTE_MINUTES × Số tháng có dữ liệu Workload]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</si>
</sst>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  <numFmt numFmtId="169" formatCode="[$-1010409]d/m/yyyy\ h:mm\ AM/PM;@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b/>
      <sz val="11"/>
      <color theme="1"/>
      <name val="Aptos Narrow"/>
      <family val="2"/>
      <scheme val="minor"/>
    </font>
    <font>
      <b/>
      <sz val="10"/>
      <name val="Calibri (Body)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98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0" fillId="0" borderId="0" xfId="0" applyFont="1"/>
    <xf numFmtId="165" fontId="9" fillId="8" borderId="3" xfId="1" applyNumberFormat="1" applyFont="1" applyFill="1" applyBorder="1" applyAlignment="1">
      <alignment horizontal="center" vertical="center"/>
    </xf>
    <xf numFmtId="169" fontId="11" fillId="9" borderId="4" xfId="5" applyNumberFormat="1" applyFont="1" applyFill="1" applyBorder="1" applyAlignment="1" applyProtection="1">
      <alignment horizontal="center" vertical="center" wrapText="1"/>
      <protection locked="0"/>
    </xf>
    <xf numFmtId="169" fontId="11" fillId="9" borderId="1" xfId="5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/>
    <xf numFmtId="164" fontId="12" fillId="0" borderId="4" xfId="4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/>
    </xf>
    <xf numFmtId="0" fontId="0" fillId="8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3" borderId="4" xfId="0" applyFill="1" applyBorder="1" applyAlignment="1">
      <alignment horizontal="left"/>
    </xf>
    <xf numFmtId="0" fontId="13" fillId="3" borderId="4" xfId="0" applyFont="1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9" fillId="0" borderId="0" xfId="0" applyFont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419100</xdr:colOff>
      <xdr:row>2</xdr:row>
      <xdr:rowOff>69850</xdr:rowOff>
    </xdr:from>
    <xdr:to>
      <xdr:col>5</xdr:col>
      <xdr:colOff>393093</xdr:colOff>
      <xdr:row>7</xdr:row>
      <xdr:rowOff>44338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446E-935B-3515-9DA6-5714F426E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0" y="438150"/>
          <a:ext cx="4857143" cy="8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M19" sqref="M19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286</v>
      </c>
      <c r="D2" s="7" t="s">
        <v>287</v>
      </c>
      <c r="E2" s="7" t="s">
        <v>288</v>
      </c>
      <c r="F2" s="7" t="s">
        <v>289</v>
      </c>
      <c r="G2" s="7" t="s">
        <v>290</v>
      </c>
      <c r="H2" s="7" t="s">
        <v>291</v>
      </c>
      <c r="I2" s="7" t="s">
        <v>292</v>
      </c>
      <c r="J2" s="7" t="s">
        <v>293</v>
      </c>
      <c r="K2" s="7" t="s">
        <v>294</v>
      </c>
      <c r="L2" s="8" t="s">
        <v>295</v>
      </c>
      <c r="M2" s="8" t="s">
        <v>296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9" priority="1">
      <formula>$M3="Low Load"</formula>
    </cfRule>
    <cfRule type="expression" dxfId="8" priority="2">
      <formula>$M3="Balanced"</formula>
    </cfRule>
    <cfRule type="expression" dxfId="7" priority="3">
      <formula>$M3="High Load"</formula>
    </cfRule>
    <cfRule type="expression" dxfId="6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O3" sqref="O3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8" width="10.1796875" style="19" customWidth="1"/>
    <col min="9" max="9" width="12.08984375" style="19" customWidth="1"/>
    <col min="10" max="12" width="10.1796875" style="19" customWidth="1"/>
    <col min="13" max="13" width="11.453125" style="30" customWidth="1"/>
    <col min="14" max="14" width="10.6328125" style="19" bestFit="1" customWidth="1"/>
    <col min="15" max="16384" width="8.7265625" style="19"/>
  </cols>
  <sheetData>
    <row r="1" spans="1:14">
      <c r="A1" s="18" t="s">
        <v>285</v>
      </c>
      <c r="D1" s="97"/>
      <c r="E1" s="97"/>
    </row>
    <row r="2" spans="1:14" s="33" customFormat="1" ht="52" customHeight="1">
      <c r="A2" s="31" t="s">
        <v>5</v>
      </c>
      <c r="B2" s="31" t="s">
        <v>6</v>
      </c>
      <c r="C2" s="31" t="s">
        <v>44</v>
      </c>
      <c r="D2" s="31" t="s">
        <v>277</v>
      </c>
      <c r="E2" s="31" t="s">
        <v>281</v>
      </c>
      <c r="F2" s="31" t="s">
        <v>278</v>
      </c>
      <c r="G2" s="31" t="s">
        <v>282</v>
      </c>
      <c r="H2" s="31" t="s">
        <v>279</v>
      </c>
      <c r="I2" s="31" t="s">
        <v>283</v>
      </c>
      <c r="J2" s="31" t="s">
        <v>280</v>
      </c>
      <c r="K2" s="31" t="s">
        <v>284</v>
      </c>
      <c r="L2" s="31" t="s">
        <v>298</v>
      </c>
      <c r="M2" s="32" t="s">
        <v>310</v>
      </c>
    </row>
    <row r="3" spans="1:14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>IF(L3="","",IFERROR(L3/SUMIFS($L:$L,$A:$A,A3,$B:$B,B3),""))</f>
        <v>8.1037682731007449E-2</v>
      </c>
      <c r="N3" s="82"/>
    </row>
    <row r="4" spans="1:14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0">(E4+G4+I4+K4)</f>
        <v>5849</v>
      </c>
      <c r="M4" s="76">
        <f t="shared" ref="M4:M19" si="1">IF(L4="","",IFERROR(L4/SUMIFS($L:$L,$A:$A,A4,$B:$B,B4),""))</f>
        <v>6.0986799574583445E-2</v>
      </c>
    </row>
    <row r="5" spans="1:14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0"/>
        <v>6776</v>
      </c>
      <c r="M5" s="76">
        <f t="shared" si="1"/>
        <v>7.0652513919879881E-2</v>
      </c>
    </row>
    <row r="6" spans="1:14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0"/>
        <v>2616</v>
      </c>
      <c r="M6" s="76">
        <f t="shared" si="1"/>
        <v>2.727670844368444E-2</v>
      </c>
    </row>
    <row r="7" spans="1:14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84">
        <v>-5075</v>
      </c>
      <c r="J7" s="37">
        <v>10</v>
      </c>
      <c r="K7" s="37">
        <v>120</v>
      </c>
      <c r="L7" s="38">
        <f t="shared" si="0"/>
        <v>24384</v>
      </c>
      <c r="M7" s="76">
        <f t="shared" si="1"/>
        <v>0.25424895209893023</v>
      </c>
    </row>
    <row r="8" spans="1:14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0"/>
        <v>46377</v>
      </c>
      <c r="M8" s="76">
        <f t="shared" si="1"/>
        <v>0.4835672429253644</v>
      </c>
    </row>
    <row r="9" spans="1:14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0"/>
        <v>2132</v>
      </c>
      <c r="M9" s="76">
        <f t="shared" si="1"/>
        <v>2.2230100306550163E-2</v>
      </c>
    </row>
    <row r="10" spans="1:14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0"/>
        <v>7524</v>
      </c>
      <c r="M10" s="76">
        <f t="shared" si="1"/>
        <v>7.9965140130299386E-2</v>
      </c>
    </row>
    <row r="11" spans="1:14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0"/>
        <v>4732</v>
      </c>
      <c r="M11" s="76">
        <f t="shared" si="1"/>
        <v>5.0291738848561501E-2</v>
      </c>
    </row>
    <row r="12" spans="1:14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0"/>
        <v>7016</v>
      </c>
      <c r="M12" s="76">
        <f t="shared" si="1"/>
        <v>7.4566111530327023E-2</v>
      </c>
    </row>
    <row r="13" spans="1:14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0"/>
        <v>2548</v>
      </c>
      <c r="M13" s="76">
        <f t="shared" si="1"/>
        <v>2.7080167072302347E-2</v>
      </c>
    </row>
    <row r="14" spans="1:14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84">
        <v>-5240</v>
      </c>
      <c r="J14" s="37">
        <v>12</v>
      </c>
      <c r="K14" s="37">
        <v>160</v>
      </c>
      <c r="L14" s="38">
        <f t="shared" si="0"/>
        <v>25945</v>
      </c>
      <c r="M14" s="76">
        <f t="shared" si="1"/>
        <v>0.2757436949336281</v>
      </c>
    </row>
    <row r="15" spans="1:14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0"/>
        <v>44051</v>
      </c>
      <c r="M15" s="76">
        <f t="shared" si="1"/>
        <v>0.46817442688461169</v>
      </c>
    </row>
    <row r="16" spans="1:14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0"/>
        <v>2275</v>
      </c>
      <c r="M16" s="76">
        <f t="shared" si="1"/>
        <v>2.4178720600269953E-2</v>
      </c>
    </row>
    <row r="17" spans="1:13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79">
        <f t="shared" si="0"/>
        <v>0</v>
      </c>
      <c r="M17" s="80" t="str">
        <f t="shared" si="1"/>
        <v/>
      </c>
    </row>
    <row r="18" spans="1:13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79">
        <f t="shared" si="0"/>
        <v>0</v>
      </c>
      <c r="M18" s="80" t="str">
        <f t="shared" si="1"/>
        <v/>
      </c>
    </row>
    <row r="19" spans="1:13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79">
        <f t="shared" si="0"/>
        <v>0</v>
      </c>
      <c r="M19" s="80" t="str">
        <f t="shared" si="1"/>
        <v/>
      </c>
    </row>
    <row r="20" spans="1:13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79">
        <f t="shared" si="0"/>
        <v>0</v>
      </c>
      <c r="M20" s="80" t="str">
        <f t="shared" ref="M20:M44" si="2">IF(L20="","",IFERROR(L20/SUMIFS($L:$L,$A:$A,A20,$B:$B,B20),""))</f>
        <v/>
      </c>
    </row>
    <row r="21" spans="1:13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79">
        <f t="shared" si="0"/>
        <v>0</v>
      </c>
      <c r="M21" s="80" t="str">
        <f t="shared" si="2"/>
        <v/>
      </c>
    </row>
    <row r="22" spans="1:13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79">
        <f t="shared" si="0"/>
        <v>0</v>
      </c>
      <c r="M22" s="80" t="str">
        <f t="shared" si="2"/>
        <v/>
      </c>
    </row>
    <row r="23" spans="1:13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79">
        <f t="shared" si="0"/>
        <v>0</v>
      </c>
      <c r="M23" s="80" t="str">
        <f t="shared" si="2"/>
        <v/>
      </c>
    </row>
    <row r="24" spans="1:13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0"/>
        <v>0</v>
      </c>
      <c r="M24" s="76" t="str">
        <f t="shared" si="2"/>
        <v/>
      </c>
    </row>
    <row r="25" spans="1:13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0"/>
        <v>0</v>
      </c>
      <c r="M25" s="76" t="str">
        <f t="shared" si="2"/>
        <v/>
      </c>
    </row>
    <row r="26" spans="1:13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0"/>
        <v>0</v>
      </c>
      <c r="M26" s="76" t="str">
        <f t="shared" si="2"/>
        <v/>
      </c>
    </row>
    <row r="27" spans="1:13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0"/>
        <v>0</v>
      </c>
      <c r="M27" s="76" t="str">
        <f t="shared" si="2"/>
        <v/>
      </c>
    </row>
    <row r="28" spans="1:13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0"/>
        <v>0</v>
      </c>
      <c r="M28" s="76" t="str">
        <f t="shared" si="2"/>
        <v/>
      </c>
    </row>
    <row r="29" spans="1:13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0"/>
        <v>0</v>
      </c>
      <c r="M29" s="76" t="str">
        <f t="shared" si="2"/>
        <v/>
      </c>
    </row>
    <row r="30" spans="1:13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0"/>
        <v>0</v>
      </c>
      <c r="M30" s="76" t="str">
        <f t="shared" si="2"/>
        <v/>
      </c>
    </row>
    <row r="31" spans="1:13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0"/>
        <v>0</v>
      </c>
      <c r="M31" s="76" t="str">
        <f t="shared" si="2"/>
        <v/>
      </c>
    </row>
    <row r="32" spans="1:13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0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0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0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0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0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0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0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0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0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0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0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0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0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4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300</v>
      </c>
    </row>
    <row r="2" spans="1:20" ht="31.5" customHeight="1">
      <c r="A2" s="6" t="s">
        <v>5</v>
      </c>
      <c r="B2" s="6" t="s">
        <v>6</v>
      </c>
      <c r="C2" s="22" t="s">
        <v>297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299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301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J5" sqref="J5"/>
    </sheetView>
  </sheetViews>
  <sheetFormatPr defaultRowHeight="16"/>
  <cols>
    <col min="1" max="16384" width="8.7265625" style="54"/>
  </cols>
  <sheetData>
    <row r="1" spans="1:14">
      <c r="A1" s="53" t="s">
        <v>305</v>
      </c>
      <c r="B1" s="53"/>
    </row>
    <row r="2" spans="1:14" ht="24.5" customHeight="1">
      <c r="A2" s="55" t="s">
        <v>162</v>
      </c>
      <c r="B2" s="55" t="s">
        <v>152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</row>
    <row r="3" spans="1:14" ht="24.5" customHeight="1">
      <c r="A3" s="3" t="s">
        <v>2</v>
      </c>
      <c r="B3" s="3" t="s">
        <v>153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154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155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156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157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158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159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160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161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E11" sqref="E11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15">
      <c r="A1" s="1" t="s">
        <v>306</v>
      </c>
    </row>
    <row r="2" spans="1:15" ht="23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9" t="s">
        <v>2</v>
      </c>
      <c r="B3" s="49" t="s">
        <v>164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15">
      <c r="A4" s="49" t="s">
        <v>2</v>
      </c>
      <c r="B4" s="49" t="s">
        <v>165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15">
      <c r="A5" s="49" t="s">
        <v>2</v>
      </c>
      <c r="B5" s="49" t="s">
        <v>166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15">
      <c r="A6" s="49" t="s">
        <v>2</v>
      </c>
      <c r="B6" s="49" t="s">
        <v>167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15">
      <c r="A7" s="49" t="s">
        <v>2</v>
      </c>
      <c r="B7" s="49" t="s">
        <v>168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15">
      <c r="A8" s="49" t="s">
        <v>2</v>
      </c>
      <c r="B8" s="49" t="s">
        <v>169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15">
      <c r="A9" s="49" t="s">
        <v>2</v>
      </c>
      <c r="B9" s="49" t="s">
        <v>170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15">
      <c r="A10" s="49" t="s">
        <v>2</v>
      </c>
      <c r="B10" s="49" t="s">
        <v>171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15">
      <c r="A11" s="49" t="s">
        <v>2</v>
      </c>
      <c r="B11" s="49" t="s">
        <v>172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15">
      <c r="A12" s="49" t="s">
        <v>2</v>
      </c>
      <c r="B12" s="49" t="s">
        <v>173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15">
      <c r="A13" s="49" t="s">
        <v>2</v>
      </c>
      <c r="B13" s="49" t="s">
        <v>174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15">
      <c r="A14" s="49" t="s">
        <v>2</v>
      </c>
      <c r="B14" s="49" t="s">
        <v>175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15">
      <c r="A15" s="49" t="s">
        <v>2</v>
      </c>
      <c r="B15" s="49" t="s">
        <v>176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15">
      <c r="A16" s="49" t="s">
        <v>2</v>
      </c>
      <c r="B16" s="49" t="s">
        <v>177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178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179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180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181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182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183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184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185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186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187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188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189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190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191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192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193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194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195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196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197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198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199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200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201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202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203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204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205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206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207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208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209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210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211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212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213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214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215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216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217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218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219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220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221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222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223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224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225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226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227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228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229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230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231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232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233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234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235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236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autoFilter ref="A2:O75" xr:uid="{71AC7A06-A2E4-4CC8-9045-1D086ED83B34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307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50" t="s">
        <v>237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238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239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240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241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242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243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4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47" t="s">
        <v>244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245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246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247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248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249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250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251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252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253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254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255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256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257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3" priority="3"/>
  </conditionalFormatting>
  <conditionalFormatting sqref="B9">
    <cfRule type="duplicateValues" dxfId="2" priority="2"/>
  </conditionalFormatting>
  <conditionalFormatting sqref="B13:B16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309</v>
      </c>
    </row>
    <row r="2" spans="1:18" s="2" customFormat="1" ht="18.75" customHeight="1">
      <c r="A2" s="6" t="s">
        <v>5</v>
      </c>
      <c r="B2" s="8" t="s">
        <v>266</v>
      </c>
      <c r="C2" s="8" t="s">
        <v>265</v>
      </c>
      <c r="D2" s="8" t="s">
        <v>273</v>
      </c>
      <c r="E2" s="8" t="s">
        <v>264</v>
      </c>
      <c r="F2" s="81" t="s">
        <v>42</v>
      </c>
      <c r="G2" s="81" t="s">
        <v>43</v>
      </c>
      <c r="H2" s="44" t="s">
        <v>47</v>
      </c>
      <c r="I2" s="44" t="s">
        <v>48</v>
      </c>
      <c r="J2" s="44" t="s">
        <v>144</v>
      </c>
      <c r="K2" s="44" t="s">
        <v>145</v>
      </c>
      <c r="L2" s="44" t="s">
        <v>146</v>
      </c>
      <c r="M2" s="44" t="s">
        <v>147</v>
      </c>
      <c r="N2" s="44" t="s">
        <v>148</v>
      </c>
      <c r="O2" s="44" t="s">
        <v>149</v>
      </c>
      <c r="P2" s="44" t="s">
        <v>150</v>
      </c>
      <c r="Q2" s="44" t="s">
        <v>151</v>
      </c>
      <c r="R2" s="45" t="s">
        <v>0</v>
      </c>
    </row>
    <row r="3" spans="1:18" ht="26.25" customHeight="1">
      <c r="A3" s="49" t="s">
        <v>2</v>
      </c>
      <c r="B3" s="47" t="s">
        <v>258</v>
      </c>
      <c r="C3" s="47" t="s">
        <v>38</v>
      </c>
      <c r="D3" s="47" t="s">
        <v>274</v>
      </c>
      <c r="E3" s="69" t="s">
        <v>267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259</v>
      </c>
      <c r="C4" s="47" t="s">
        <v>38</v>
      </c>
      <c r="D4" s="47" t="s">
        <v>275</v>
      </c>
      <c r="E4" s="69" t="s">
        <v>268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263</v>
      </c>
      <c r="C5" s="47" t="s">
        <v>38</v>
      </c>
      <c r="D5" s="47" t="s">
        <v>274</v>
      </c>
      <c r="E5" s="69" t="s">
        <v>269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262</v>
      </c>
      <c r="C6" s="47" t="s">
        <v>39</v>
      </c>
      <c r="D6" s="47" t="s">
        <v>276</v>
      </c>
      <c r="E6" s="69" t="s">
        <v>270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261</v>
      </c>
      <c r="C7" s="47" t="s">
        <v>21</v>
      </c>
      <c r="D7" s="47" t="s">
        <v>275</v>
      </c>
      <c r="E7" s="69" t="s">
        <v>271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261</v>
      </c>
      <c r="C8" s="47" t="s">
        <v>21</v>
      </c>
      <c r="D8" s="47" t="s">
        <v>275</v>
      </c>
      <c r="E8" s="69" t="s">
        <v>271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261</v>
      </c>
      <c r="C9" s="47" t="s">
        <v>21</v>
      </c>
      <c r="D9" s="47" t="s">
        <v>275</v>
      </c>
      <c r="E9" s="69" t="s">
        <v>271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261</v>
      </c>
      <c r="C10" s="47" t="s">
        <v>37</v>
      </c>
      <c r="D10" s="47" t="s">
        <v>275</v>
      </c>
      <c r="E10" s="69" t="s">
        <v>271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261</v>
      </c>
      <c r="C11" s="47" t="s">
        <v>20</v>
      </c>
      <c r="D11" s="47" t="s">
        <v>275</v>
      </c>
      <c r="E11" s="69" t="s">
        <v>271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260</v>
      </c>
      <c r="C12" s="47" t="s">
        <v>20</v>
      </c>
      <c r="D12" s="47" t="s">
        <v>274</v>
      </c>
      <c r="E12" s="69" t="s">
        <v>272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260</v>
      </c>
      <c r="C13" s="47" t="s">
        <v>20</v>
      </c>
      <c r="D13" s="47" t="s">
        <v>274</v>
      </c>
      <c r="E13" s="69" t="s">
        <v>272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260</v>
      </c>
      <c r="C14" s="47" t="s">
        <v>37</v>
      </c>
      <c r="D14" s="47" t="s">
        <v>274</v>
      </c>
      <c r="E14" s="69" t="s">
        <v>272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260</v>
      </c>
      <c r="C15" s="47" t="s">
        <v>37</v>
      </c>
      <c r="D15" s="47" t="s">
        <v>274</v>
      </c>
      <c r="E15" s="69" t="s">
        <v>272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260</v>
      </c>
      <c r="C16" s="47" t="s">
        <v>39</v>
      </c>
      <c r="D16" s="47" t="s">
        <v>274</v>
      </c>
      <c r="E16" s="69" t="s">
        <v>272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11BBA-69FC-4664-9019-7BC48CC71163}">
  <dimension ref="A1:B131"/>
  <sheetViews>
    <sheetView workbookViewId="0">
      <selection activeCell="F11" sqref="F11"/>
    </sheetView>
  </sheetViews>
  <sheetFormatPr defaultRowHeight="14.5"/>
  <cols>
    <col min="2" max="2" width="35" bestFit="1" customWidth="1"/>
  </cols>
  <sheetData>
    <row r="1" spans="1:2" s="83" customFormat="1">
      <c r="A1" s="83" t="s">
        <v>311</v>
      </c>
    </row>
    <row r="2" spans="1:2">
      <c r="A2" t="s">
        <v>530</v>
      </c>
    </row>
    <row r="9" spans="1:2">
      <c r="A9" s="85" t="s">
        <v>312</v>
      </c>
      <c r="B9" s="86"/>
    </row>
    <row r="10" spans="1:2">
      <c r="A10" s="87" t="s">
        <v>20</v>
      </c>
      <c r="B10" s="87" t="s">
        <v>313</v>
      </c>
    </row>
    <row r="11" spans="1:2">
      <c r="A11" s="87" t="s">
        <v>21</v>
      </c>
      <c r="B11" s="87" t="s">
        <v>314</v>
      </c>
    </row>
    <row r="12" spans="1:2">
      <c r="A12" s="87" t="s">
        <v>22</v>
      </c>
      <c r="B12" s="87" t="s">
        <v>315</v>
      </c>
    </row>
    <row r="13" spans="1:2">
      <c r="A13" s="88" t="s">
        <v>23</v>
      </c>
      <c r="B13" s="88"/>
    </row>
    <row r="14" spans="1:2">
      <c r="A14" s="88" t="s">
        <v>24</v>
      </c>
      <c r="B14" s="88"/>
    </row>
    <row r="15" spans="1:2">
      <c r="A15" s="88" t="s">
        <v>25</v>
      </c>
      <c r="B15" s="88"/>
    </row>
    <row r="16" spans="1:2">
      <c r="A16" s="87" t="s">
        <v>26</v>
      </c>
      <c r="B16" s="87" t="s">
        <v>316</v>
      </c>
    </row>
    <row r="17" spans="1:2">
      <c r="A17" s="87" t="s">
        <v>27</v>
      </c>
      <c r="B17" s="87" t="s">
        <v>317</v>
      </c>
    </row>
    <row r="18" spans="1:2">
      <c r="A18" s="87" t="s">
        <v>28</v>
      </c>
      <c r="B18" s="87" t="s">
        <v>318</v>
      </c>
    </row>
    <row r="19" spans="1:2">
      <c r="A19" s="87" t="s">
        <v>29</v>
      </c>
      <c r="B19" s="87" t="s">
        <v>319</v>
      </c>
    </row>
    <row r="20" spans="1:2">
      <c r="A20" s="87" t="s">
        <v>30</v>
      </c>
      <c r="B20" s="87" t="s">
        <v>320</v>
      </c>
    </row>
    <row r="21" spans="1:2">
      <c r="A21" s="89" t="s">
        <v>31</v>
      </c>
      <c r="B21" s="89" t="s">
        <v>321</v>
      </c>
    </row>
    <row r="22" spans="1:2">
      <c r="A22" s="89" t="s">
        <v>32</v>
      </c>
      <c r="B22" s="89" t="s">
        <v>322</v>
      </c>
    </row>
    <row r="23" spans="1:2">
      <c r="A23" s="90" t="s">
        <v>33</v>
      </c>
      <c r="B23" s="90" t="s">
        <v>323</v>
      </c>
    </row>
    <row r="24" spans="1:2">
      <c r="A24" s="89" t="s">
        <v>34</v>
      </c>
      <c r="B24" s="89" t="s">
        <v>324</v>
      </c>
    </row>
    <row r="25" spans="1:2">
      <c r="A25" s="89" t="s">
        <v>35</v>
      </c>
      <c r="B25" s="89" t="s">
        <v>325</v>
      </c>
    </row>
    <row r="28" spans="1:2">
      <c r="A28" s="91" t="s">
        <v>326</v>
      </c>
      <c r="B28" s="92"/>
    </row>
    <row r="29" spans="1:2">
      <c r="A29" s="93" t="s">
        <v>327</v>
      </c>
      <c r="B29" s="93" t="s">
        <v>328</v>
      </c>
    </row>
    <row r="30" spans="1:2">
      <c r="A30" s="93" t="s">
        <v>329</v>
      </c>
      <c r="B30" s="93" t="s">
        <v>330</v>
      </c>
    </row>
    <row r="31" spans="1:2">
      <c r="A31" s="93" t="s">
        <v>331</v>
      </c>
      <c r="B31" s="93" t="s">
        <v>332</v>
      </c>
    </row>
    <row r="32" spans="1:2">
      <c r="A32" s="93" t="s">
        <v>333</v>
      </c>
      <c r="B32" s="93" t="s">
        <v>334</v>
      </c>
    </row>
    <row r="33" spans="1:2">
      <c r="A33" s="93" t="s">
        <v>335</v>
      </c>
      <c r="B33" s="93" t="s">
        <v>336</v>
      </c>
    </row>
    <row r="34" spans="1:2">
      <c r="A34" s="93" t="s">
        <v>337</v>
      </c>
      <c r="B34" s="93" t="s">
        <v>338</v>
      </c>
    </row>
    <row r="35" spans="1:2">
      <c r="A35" s="93" t="s">
        <v>339</v>
      </c>
      <c r="B35" s="93" t="s">
        <v>340</v>
      </c>
    </row>
    <row r="36" spans="1:2">
      <c r="A36" s="93" t="s">
        <v>341</v>
      </c>
      <c r="B36" s="93" t="s">
        <v>342</v>
      </c>
    </row>
    <row r="37" spans="1:2">
      <c r="A37" s="93" t="s">
        <v>343</v>
      </c>
      <c r="B37" s="93" t="s">
        <v>344</v>
      </c>
    </row>
    <row r="38" spans="1:2">
      <c r="A38" s="93" t="s">
        <v>345</v>
      </c>
      <c r="B38" s="93" t="s">
        <v>346</v>
      </c>
    </row>
    <row r="39" spans="1:2">
      <c r="A39" s="93" t="s">
        <v>347</v>
      </c>
      <c r="B39" s="93" t="s">
        <v>348</v>
      </c>
    </row>
    <row r="40" spans="1:2">
      <c r="A40" s="93" t="s">
        <v>349</v>
      </c>
      <c r="B40" s="93" t="s">
        <v>350</v>
      </c>
    </row>
    <row r="41" spans="1:2">
      <c r="A41" s="93" t="s">
        <v>351</v>
      </c>
      <c r="B41" s="93" t="s">
        <v>352</v>
      </c>
    </row>
    <row r="42" spans="1:2">
      <c r="A42" s="93" t="s">
        <v>353</v>
      </c>
      <c r="B42" s="93" t="s">
        <v>354</v>
      </c>
    </row>
    <row r="43" spans="1:2">
      <c r="A43" s="93" t="s">
        <v>355</v>
      </c>
      <c r="B43" s="93" t="s">
        <v>356</v>
      </c>
    </row>
    <row r="44" spans="1:2">
      <c r="A44" s="93" t="s">
        <v>357</v>
      </c>
      <c r="B44" s="93" t="s">
        <v>358</v>
      </c>
    </row>
    <row r="45" spans="1:2">
      <c r="A45" s="93" t="s">
        <v>359</v>
      </c>
      <c r="B45" s="93" t="s">
        <v>360</v>
      </c>
    </row>
    <row r="46" spans="1:2">
      <c r="A46" s="93" t="s">
        <v>361</v>
      </c>
      <c r="B46" s="93" t="s">
        <v>362</v>
      </c>
    </row>
    <row r="47" spans="1:2">
      <c r="A47" s="93" t="s">
        <v>363</v>
      </c>
      <c r="B47" s="93" t="s">
        <v>364</v>
      </c>
    </row>
    <row r="48" spans="1:2">
      <c r="A48" s="93" t="s">
        <v>365</v>
      </c>
      <c r="B48" s="93" t="s">
        <v>366</v>
      </c>
    </row>
    <row r="49" spans="1:2">
      <c r="A49" s="93" t="s">
        <v>367</v>
      </c>
      <c r="B49" s="93" t="s">
        <v>368</v>
      </c>
    </row>
    <row r="50" spans="1:2">
      <c r="A50" s="93" t="s">
        <v>369</v>
      </c>
      <c r="B50" s="93" t="s">
        <v>370</v>
      </c>
    </row>
    <row r="51" spans="1:2">
      <c r="A51" s="93" t="s">
        <v>371</v>
      </c>
      <c r="B51" s="93" t="s">
        <v>372</v>
      </c>
    </row>
    <row r="52" spans="1:2">
      <c r="A52" s="93" t="s">
        <v>373</v>
      </c>
      <c r="B52" s="93" t="s">
        <v>374</v>
      </c>
    </row>
    <row r="53" spans="1:2">
      <c r="A53" s="93" t="s">
        <v>375</v>
      </c>
      <c r="B53" s="93" t="s">
        <v>376</v>
      </c>
    </row>
    <row r="54" spans="1:2">
      <c r="A54" s="93" t="s">
        <v>377</v>
      </c>
      <c r="B54" s="93" t="s">
        <v>378</v>
      </c>
    </row>
    <row r="55" spans="1:2">
      <c r="A55" s="93" t="s">
        <v>379</v>
      </c>
      <c r="B55" s="93" t="s">
        <v>380</v>
      </c>
    </row>
    <row r="56" spans="1:2">
      <c r="A56" s="93" t="s">
        <v>381</v>
      </c>
      <c r="B56" s="93" t="s">
        <v>382</v>
      </c>
    </row>
    <row r="57" spans="1:2">
      <c r="A57" s="93" t="s">
        <v>383</v>
      </c>
      <c r="B57" s="93" t="s">
        <v>384</v>
      </c>
    </row>
    <row r="58" spans="1:2">
      <c r="A58" s="93" t="s">
        <v>385</v>
      </c>
      <c r="B58" s="93" t="s">
        <v>386</v>
      </c>
    </row>
    <row r="59" spans="1:2">
      <c r="A59" s="93" t="s">
        <v>387</v>
      </c>
      <c r="B59" s="93" t="s">
        <v>388</v>
      </c>
    </row>
    <row r="60" spans="1:2">
      <c r="A60" s="93" t="s">
        <v>389</v>
      </c>
      <c r="B60" s="93" t="s">
        <v>390</v>
      </c>
    </row>
    <row r="61" spans="1:2">
      <c r="A61" s="93" t="s">
        <v>391</v>
      </c>
      <c r="B61" s="93" t="s">
        <v>392</v>
      </c>
    </row>
    <row r="62" spans="1:2">
      <c r="A62" s="93" t="s">
        <v>393</v>
      </c>
      <c r="B62" s="93" t="s">
        <v>394</v>
      </c>
    </row>
    <row r="63" spans="1:2">
      <c r="A63" s="93" t="s">
        <v>395</v>
      </c>
      <c r="B63" s="93" t="s">
        <v>396</v>
      </c>
    </row>
    <row r="64" spans="1:2">
      <c r="A64" s="93" t="s">
        <v>397</v>
      </c>
      <c r="B64" s="93" t="s">
        <v>398</v>
      </c>
    </row>
    <row r="65" spans="1:2">
      <c r="A65" s="93" t="s">
        <v>399</v>
      </c>
      <c r="B65" s="93" t="s">
        <v>400</v>
      </c>
    </row>
    <row r="66" spans="1:2">
      <c r="A66" s="93" t="s">
        <v>401</v>
      </c>
      <c r="B66" s="93" t="s">
        <v>402</v>
      </c>
    </row>
    <row r="67" spans="1:2">
      <c r="A67" s="93" t="s">
        <v>403</v>
      </c>
      <c r="B67" s="93" t="s">
        <v>404</v>
      </c>
    </row>
    <row r="68" spans="1:2">
      <c r="A68" s="93" t="s">
        <v>405</v>
      </c>
      <c r="B68" s="93" t="s">
        <v>406</v>
      </c>
    </row>
    <row r="69" spans="1:2">
      <c r="A69" s="93" t="s">
        <v>407</v>
      </c>
      <c r="B69" s="93" t="s">
        <v>408</v>
      </c>
    </row>
    <row r="70" spans="1:2">
      <c r="A70" s="93" t="s">
        <v>409</v>
      </c>
      <c r="B70" s="93" t="s">
        <v>410</v>
      </c>
    </row>
    <row r="71" spans="1:2">
      <c r="A71" s="93" t="s">
        <v>411</v>
      </c>
      <c r="B71" s="93" t="s">
        <v>412</v>
      </c>
    </row>
    <row r="72" spans="1:2">
      <c r="A72" s="93" t="s">
        <v>413</v>
      </c>
      <c r="B72" s="93" t="s">
        <v>414</v>
      </c>
    </row>
    <row r="73" spans="1:2">
      <c r="A73" s="93" t="s">
        <v>415</v>
      </c>
      <c r="B73" s="93" t="s">
        <v>416</v>
      </c>
    </row>
    <row r="74" spans="1:2">
      <c r="A74" s="93" t="s">
        <v>417</v>
      </c>
      <c r="B74" s="93" t="s">
        <v>418</v>
      </c>
    </row>
    <row r="75" spans="1:2">
      <c r="A75" s="93" t="s">
        <v>419</v>
      </c>
      <c r="B75" s="93" t="s">
        <v>420</v>
      </c>
    </row>
    <row r="76" spans="1:2">
      <c r="A76" s="93" t="s">
        <v>421</v>
      </c>
      <c r="B76" s="93" t="s">
        <v>422</v>
      </c>
    </row>
    <row r="77" spans="1:2">
      <c r="A77" s="94" t="s">
        <v>423</v>
      </c>
      <c r="B77" s="94" t="s">
        <v>424</v>
      </c>
    </row>
    <row r="78" spans="1:2">
      <c r="A78" s="93" t="s">
        <v>425</v>
      </c>
      <c r="B78" s="93" t="s">
        <v>426</v>
      </c>
    </row>
    <row r="79" spans="1:2">
      <c r="A79" s="93" t="s">
        <v>427</v>
      </c>
      <c r="B79" s="93" t="s">
        <v>428</v>
      </c>
    </row>
    <row r="80" spans="1:2">
      <c r="A80" s="93" t="s">
        <v>429</v>
      </c>
      <c r="B80" s="93" t="s">
        <v>430</v>
      </c>
    </row>
    <row r="81" spans="1:2">
      <c r="A81" s="94" t="s">
        <v>431</v>
      </c>
      <c r="B81" s="94" t="s">
        <v>432</v>
      </c>
    </row>
    <row r="82" spans="1:2">
      <c r="A82" s="95" t="s">
        <v>433</v>
      </c>
      <c r="B82" s="93" t="s">
        <v>434</v>
      </c>
    </row>
    <row r="83" spans="1:2">
      <c r="A83" s="95" t="s">
        <v>435</v>
      </c>
      <c r="B83" s="93" t="s">
        <v>436</v>
      </c>
    </row>
    <row r="84" spans="1:2">
      <c r="A84" s="95" t="s">
        <v>437</v>
      </c>
      <c r="B84" s="93" t="s">
        <v>438</v>
      </c>
    </row>
    <row r="85" spans="1:2">
      <c r="A85" s="95" t="s">
        <v>439</v>
      </c>
      <c r="B85" s="93" t="s">
        <v>440</v>
      </c>
    </row>
    <row r="86" spans="1:2">
      <c r="A86" s="95" t="s">
        <v>441</v>
      </c>
      <c r="B86" s="93" t="s">
        <v>442</v>
      </c>
    </row>
    <row r="87" spans="1:2">
      <c r="A87" s="95" t="s">
        <v>443</v>
      </c>
      <c r="B87" s="93" t="s">
        <v>444</v>
      </c>
    </row>
    <row r="88" spans="1:2">
      <c r="A88" s="95" t="s">
        <v>445</v>
      </c>
      <c r="B88" s="93" t="s">
        <v>446</v>
      </c>
    </row>
    <row r="89" spans="1:2">
      <c r="A89" s="95" t="s">
        <v>447</v>
      </c>
      <c r="B89" s="93" t="s">
        <v>448</v>
      </c>
    </row>
    <row r="90" spans="1:2">
      <c r="A90" s="95" t="s">
        <v>449</v>
      </c>
      <c r="B90" s="93" t="s">
        <v>450</v>
      </c>
    </row>
    <row r="91" spans="1:2">
      <c r="A91" s="95" t="s">
        <v>451</v>
      </c>
      <c r="B91" s="94" t="s">
        <v>452</v>
      </c>
    </row>
    <row r="92" spans="1:2">
      <c r="A92" s="94" t="s">
        <v>453</v>
      </c>
      <c r="B92" s="94" t="s">
        <v>454</v>
      </c>
    </row>
    <row r="93" spans="1:2">
      <c r="A93" s="94" t="s">
        <v>455</v>
      </c>
      <c r="B93" s="94" t="s">
        <v>456</v>
      </c>
    </row>
    <row r="94" spans="1:2">
      <c r="A94" s="94" t="s">
        <v>457</v>
      </c>
      <c r="B94" s="94" t="s">
        <v>458</v>
      </c>
    </row>
    <row r="95" spans="1:2">
      <c r="A95" s="94" t="s">
        <v>459</v>
      </c>
      <c r="B95" s="94" t="s">
        <v>460</v>
      </c>
    </row>
    <row r="96" spans="1:2">
      <c r="A96" s="94" t="s">
        <v>461</v>
      </c>
      <c r="B96" s="94" t="s">
        <v>462</v>
      </c>
    </row>
    <row r="97" spans="1:2">
      <c r="A97" s="94" t="s">
        <v>463</v>
      </c>
      <c r="B97" s="94" t="s">
        <v>464</v>
      </c>
    </row>
    <row r="98" spans="1:2">
      <c r="A98" s="94" t="s">
        <v>465</v>
      </c>
      <c r="B98" s="94" t="s">
        <v>466</v>
      </c>
    </row>
    <row r="99" spans="1:2">
      <c r="A99" s="94" t="s">
        <v>467</v>
      </c>
      <c r="B99" s="94" t="s">
        <v>468</v>
      </c>
    </row>
    <row r="100" spans="1:2">
      <c r="A100" s="94" t="s">
        <v>469</v>
      </c>
      <c r="B100" s="94" t="s">
        <v>470</v>
      </c>
    </row>
    <row r="101" spans="1:2">
      <c r="A101" s="94" t="s">
        <v>471</v>
      </c>
      <c r="B101" s="94" t="s">
        <v>472</v>
      </c>
    </row>
    <row r="102" spans="1:2">
      <c r="A102" s="94" t="s">
        <v>473</v>
      </c>
      <c r="B102" s="94" t="s">
        <v>474</v>
      </c>
    </row>
    <row r="103" spans="1:2">
      <c r="A103" s="94" t="s">
        <v>475</v>
      </c>
      <c r="B103" s="94" t="s">
        <v>476</v>
      </c>
    </row>
    <row r="104" spans="1:2">
      <c r="A104" s="94" t="s">
        <v>477</v>
      </c>
      <c r="B104" s="94" t="s">
        <v>478</v>
      </c>
    </row>
    <row r="105" spans="1:2">
      <c r="A105" s="94" t="s">
        <v>479</v>
      </c>
      <c r="B105" s="94" t="s">
        <v>480</v>
      </c>
    </row>
    <row r="106" spans="1:2">
      <c r="A106" s="94" t="s">
        <v>481</v>
      </c>
      <c r="B106" s="94" t="s">
        <v>482</v>
      </c>
    </row>
    <row r="107" spans="1:2">
      <c r="A107" s="94" t="s">
        <v>483</v>
      </c>
      <c r="B107" s="94" t="s">
        <v>484</v>
      </c>
    </row>
    <row r="108" spans="1:2">
      <c r="A108" s="94" t="s">
        <v>485</v>
      </c>
      <c r="B108" s="94" t="s">
        <v>486</v>
      </c>
    </row>
    <row r="109" spans="1:2">
      <c r="A109" s="94" t="s">
        <v>487</v>
      </c>
      <c r="B109" s="94" t="s">
        <v>488</v>
      </c>
    </row>
    <row r="110" spans="1:2">
      <c r="A110" s="94" t="s">
        <v>489</v>
      </c>
      <c r="B110" s="94" t="s">
        <v>490</v>
      </c>
    </row>
    <row r="111" spans="1:2">
      <c r="A111" s="94" t="s">
        <v>491</v>
      </c>
      <c r="B111" s="94" t="s">
        <v>492</v>
      </c>
    </row>
    <row r="112" spans="1:2">
      <c r="A112" s="94" t="s">
        <v>493</v>
      </c>
      <c r="B112" s="94" t="s">
        <v>494</v>
      </c>
    </row>
    <row r="113" spans="1:2">
      <c r="A113" s="94" t="s">
        <v>495</v>
      </c>
      <c r="B113" s="94" t="s">
        <v>496</v>
      </c>
    </row>
    <row r="114" spans="1:2">
      <c r="A114" s="94" t="s">
        <v>497</v>
      </c>
      <c r="B114" s="94" t="s">
        <v>498</v>
      </c>
    </row>
    <row r="115" spans="1:2">
      <c r="A115" s="94" t="s">
        <v>499</v>
      </c>
      <c r="B115" s="94" t="s">
        <v>500</v>
      </c>
    </row>
    <row r="116" spans="1:2">
      <c r="A116" s="94" t="s">
        <v>501</v>
      </c>
      <c r="B116" s="94" t="s">
        <v>502</v>
      </c>
    </row>
    <row r="117" spans="1:2">
      <c r="A117" s="94" t="s">
        <v>503</v>
      </c>
      <c r="B117" s="94" t="s">
        <v>504</v>
      </c>
    </row>
    <row r="118" spans="1:2">
      <c r="A118" s="94" t="s">
        <v>505</v>
      </c>
      <c r="B118" s="94" t="s">
        <v>506</v>
      </c>
    </row>
    <row r="119" spans="1:2">
      <c r="A119" s="94" t="s">
        <v>507</v>
      </c>
      <c r="B119" s="94" t="s">
        <v>508</v>
      </c>
    </row>
    <row r="120" spans="1:2">
      <c r="A120" s="94" t="s">
        <v>509</v>
      </c>
      <c r="B120" s="94" t="s">
        <v>510</v>
      </c>
    </row>
    <row r="121" spans="1:2">
      <c r="A121" s="94" t="s">
        <v>511</v>
      </c>
      <c r="B121" s="94" t="s">
        <v>512</v>
      </c>
    </row>
    <row r="122" spans="1:2">
      <c r="A122" s="94" t="s">
        <v>513</v>
      </c>
      <c r="B122" s="94" t="s">
        <v>514</v>
      </c>
    </row>
    <row r="123" spans="1:2">
      <c r="A123" s="94" t="s">
        <v>515</v>
      </c>
      <c r="B123" s="94" t="s">
        <v>516</v>
      </c>
    </row>
    <row r="124" spans="1:2">
      <c r="A124" s="94" t="s">
        <v>517</v>
      </c>
      <c r="B124" s="94" t="s">
        <v>518</v>
      </c>
    </row>
    <row r="125" spans="1:2">
      <c r="A125" s="94" t="s">
        <v>519</v>
      </c>
      <c r="B125" s="94" t="s">
        <v>520</v>
      </c>
    </row>
    <row r="126" spans="1:2">
      <c r="A126" s="94" t="s">
        <v>521</v>
      </c>
      <c r="B126" s="94" t="s">
        <v>522</v>
      </c>
    </row>
    <row r="127" spans="1:2">
      <c r="A127" s="94" t="s">
        <v>523</v>
      </c>
      <c r="B127" s="94" t="s">
        <v>524</v>
      </c>
    </row>
    <row r="128" spans="1:2">
      <c r="A128" s="93" t="s">
        <v>525</v>
      </c>
      <c r="B128" s="96" t="s">
        <v>526</v>
      </c>
    </row>
    <row r="129" spans="1:2">
      <c r="A129" s="94" t="s">
        <v>527</v>
      </c>
      <c r="B129" s="96" t="s">
        <v>526</v>
      </c>
    </row>
    <row r="130" spans="1:2">
      <c r="A130" s="94" t="s">
        <v>528</v>
      </c>
      <c r="B130" s="96" t="s">
        <v>526</v>
      </c>
    </row>
    <row r="131" spans="1:2">
      <c r="A131" s="94" t="s">
        <v>529</v>
      </c>
      <c r="B131" s="96" t="s">
        <v>526</v>
      </c>
    </row>
  </sheetData>
  <conditionalFormatting sqref="A128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2026-08-09T14:00:09Z</dcterms:modified>
</cp:coreProperties>
</file>