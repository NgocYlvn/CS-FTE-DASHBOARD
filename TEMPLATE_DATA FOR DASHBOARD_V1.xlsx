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nguyenbich_ngoc_nykgroup_com/Documents/CS standard time_Claude/"/>
    </mc:Choice>
  </mc:AlternateContent>
  <xr:revisionPtr revIDLastSave="1003" documentId="8_{F9537D5D-B12A-4A4C-AF40-128E8D45C306}" xr6:coauthVersionLast="47" xr6:coauthVersionMax="47" xr10:uidLastSave="{4256E9D1-0F9A-41DC-ABC2-9AC9521A4CA8}"/>
  <bookViews>
    <workbookView xWindow="-110" yWindow="-110" windowWidth="19420" windowHeight="10300" tabRatio="745" activeTab="1" xr2:uid="{E21F554E-3F05-4DDC-8BE4-80952248A30F}"/>
  </bookViews>
  <sheets>
    <sheet name="HC" sheetId="1" r:id="rId1"/>
    <sheet name="BU allocation" sheetId="5" r:id="rId2"/>
    <sheet name="Shipment volume" sheetId="2" r:id="rId3"/>
    <sheet name="Customer Volume-N&amp;S" sheetId="6" r:id="rId4"/>
    <sheet name="Customer Volume - HAD" sheetId="16" state="hidden" r:id="rId5"/>
    <sheet name="Customer Volume - HAN" sheetId="17" state="hidden" r:id="rId6"/>
    <sheet name="Customer Volume - HLC" sheetId="18" state="hidden" r:id="rId7"/>
    <sheet name="Customer Volume - HCM" sheetId="19" state="hidden" r:id="rId8"/>
    <sheet name="CS FTE" sheetId="10" r:id="rId9"/>
    <sheet name="C" sheetId="11" r:id="rId10"/>
    <sheet name="A" sheetId="12" r:id="rId11"/>
    <sheet name="S" sheetId="13" r:id="rId12"/>
    <sheet name="E" sheetId="14" r:id="rId13"/>
    <sheet name="Ghi chú" sheetId="20" r:id="rId14"/>
  </sheets>
  <definedNames>
    <definedName name="_xlnm._FilterDatabase" localSheetId="9" hidden="1">'C'!$A$2:$O$75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8" i="5" l="1"/>
  <c r="L19" i="5"/>
  <c r="L20" i="5"/>
  <c r="L21" i="5"/>
  <c r="L22" i="5"/>
  <c r="L23" i="5"/>
  <c r="L24" i="5"/>
  <c r="L17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17" i="5"/>
  <c r="M18" i="5"/>
  <c r="M19" i="5"/>
  <c r="M6" i="5"/>
  <c r="M4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38" i="5"/>
  <c r="L39" i="5"/>
  <c r="L40" i="5"/>
  <c r="L41" i="5"/>
  <c r="L42" i="5"/>
  <c r="L43" i="5"/>
  <c r="L44" i="5"/>
  <c r="L3" i="5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3" i="14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3" i="12"/>
  <c r="O4" i="12"/>
  <c r="O5" i="12"/>
  <c r="O6" i="12"/>
  <c r="O7" i="12"/>
  <c r="O8" i="12"/>
  <c r="O9" i="12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P97" i="19"/>
  <c r="P96" i="19"/>
  <c r="P95" i="19"/>
  <c r="P94" i="19"/>
  <c r="P93" i="19"/>
  <c r="P92" i="19"/>
  <c r="P91" i="19"/>
  <c r="P90" i="19"/>
  <c r="P89" i="19"/>
  <c r="P88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1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3" i="19"/>
  <c r="P97" i="18"/>
  <c r="P96" i="18"/>
  <c r="P95" i="18"/>
  <c r="P94" i="18"/>
  <c r="P93" i="18"/>
  <c r="P92" i="18"/>
  <c r="P91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8" i="18"/>
  <c r="P77" i="18"/>
  <c r="P76" i="18"/>
  <c r="P75" i="18"/>
  <c r="P74" i="18"/>
  <c r="P73" i="18"/>
  <c r="P72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P3" i="18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3" i="17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3" i="1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3" i="6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6" i="2"/>
  <c r="T25" i="2"/>
  <c r="T24" i="2"/>
  <c r="T23" i="2"/>
  <c r="T22" i="2"/>
  <c r="T21" i="2"/>
  <c r="T20" i="2"/>
  <c r="T19" i="2"/>
  <c r="T18" i="2"/>
  <c r="T17" i="2"/>
  <c r="S16" i="2"/>
  <c r="S28" i="2" s="1"/>
  <c r="R16" i="2"/>
  <c r="R28" i="2" s="1"/>
  <c r="Q16" i="2"/>
  <c r="Q28" i="2" s="1"/>
  <c r="N16" i="2"/>
  <c r="N28" i="2" s="1"/>
  <c r="M16" i="2"/>
  <c r="M28" i="2" s="1"/>
  <c r="L16" i="2"/>
  <c r="L28" i="2" s="1"/>
  <c r="K16" i="2"/>
  <c r="K28" i="2" s="1"/>
  <c r="J16" i="2"/>
  <c r="J28" i="2" s="1"/>
  <c r="I16" i="2"/>
  <c r="I28" i="2" s="1"/>
  <c r="H16" i="2"/>
  <c r="H28" i="2" s="1"/>
  <c r="G16" i="2"/>
  <c r="G28" i="2" s="1"/>
  <c r="F16" i="2"/>
  <c r="F28" i="2" s="1"/>
  <c r="E16" i="2"/>
  <c r="E28" i="2" s="1"/>
  <c r="D16" i="2"/>
  <c r="S15" i="2"/>
  <c r="S27" i="2" s="1"/>
  <c r="R15" i="2"/>
  <c r="R27" i="2" s="1"/>
  <c r="Q15" i="2"/>
  <c r="Q27" i="2" s="1"/>
  <c r="N15" i="2"/>
  <c r="N27" i="2" s="1"/>
  <c r="M15" i="2"/>
  <c r="M27" i="2" s="1"/>
  <c r="L15" i="2"/>
  <c r="L27" i="2" s="1"/>
  <c r="K15" i="2"/>
  <c r="K27" i="2" s="1"/>
  <c r="J15" i="2"/>
  <c r="J27" i="2" s="1"/>
  <c r="I15" i="2"/>
  <c r="I27" i="2" s="1"/>
  <c r="H15" i="2"/>
  <c r="H27" i="2" s="1"/>
  <c r="G15" i="2"/>
  <c r="G27" i="2" s="1"/>
  <c r="F15" i="2"/>
  <c r="F27" i="2" s="1"/>
  <c r="E15" i="2"/>
  <c r="E27" i="2" s="1"/>
  <c r="D15" i="2"/>
  <c r="T14" i="2"/>
  <c r="T13" i="2"/>
  <c r="T12" i="2"/>
  <c r="T11" i="2"/>
  <c r="T10" i="2"/>
  <c r="T9" i="2"/>
  <c r="T8" i="2"/>
  <c r="T7" i="2"/>
  <c r="T6" i="2"/>
  <c r="T5" i="2"/>
  <c r="T4" i="2"/>
  <c r="T3" i="2"/>
  <c r="L5" i="1"/>
  <c r="M5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K28" i="1"/>
  <c r="L28" i="1" s="1"/>
  <c r="M28" i="1" s="1"/>
  <c r="H28" i="1"/>
  <c r="E28" i="1"/>
  <c r="K27" i="1"/>
  <c r="L27" i="1" s="1"/>
  <c r="M27" i="1" s="1"/>
  <c r="H27" i="1"/>
  <c r="E27" i="1"/>
  <c r="L26" i="1"/>
  <c r="M26" i="1" s="1"/>
  <c r="M25" i="1"/>
  <c r="L25" i="1"/>
  <c r="L24" i="1"/>
  <c r="M24" i="1" s="1"/>
  <c r="L23" i="1"/>
  <c r="M23" i="1" s="1"/>
  <c r="L22" i="1"/>
  <c r="M22" i="1" s="1"/>
  <c r="L21" i="1"/>
  <c r="M21" i="1" s="1"/>
  <c r="M20" i="1"/>
  <c r="L20" i="1"/>
  <c r="L19" i="1"/>
  <c r="M19" i="1" s="1"/>
  <c r="L18" i="1"/>
  <c r="M18" i="1" s="1"/>
  <c r="L17" i="1"/>
  <c r="M17" i="1" s="1"/>
  <c r="K16" i="1"/>
  <c r="L16" i="1" s="1"/>
  <c r="M16" i="1" s="1"/>
  <c r="H16" i="1"/>
  <c r="E16" i="1"/>
  <c r="K15" i="1"/>
  <c r="L15" i="1" s="1"/>
  <c r="M15" i="1" s="1"/>
  <c r="H15" i="1"/>
  <c r="E15" i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K4" i="1"/>
  <c r="L4" i="1" s="1"/>
  <c r="M4" i="1" s="1"/>
  <c r="H4" i="1"/>
  <c r="E4" i="1"/>
  <c r="K3" i="1"/>
  <c r="L3" i="1" s="1"/>
  <c r="M3" i="1" s="1"/>
  <c r="H3" i="1"/>
  <c r="E3" i="1"/>
  <c r="G6" i="14"/>
  <c r="F6" i="14"/>
  <c r="M14" i="5" l="1"/>
  <c r="M11" i="5"/>
  <c r="M12" i="5"/>
  <c r="M16" i="5"/>
  <c r="M13" i="5"/>
  <c r="M15" i="5"/>
  <c r="M10" i="5"/>
  <c r="M9" i="5"/>
  <c r="M3" i="5"/>
  <c r="M7" i="5"/>
  <c r="M8" i="5"/>
  <c r="M5" i="5"/>
  <c r="O3" i="11"/>
  <c r="D28" i="2"/>
  <c r="T28" i="2" s="1"/>
  <c r="T16" i="2"/>
  <c r="D27" i="2"/>
  <c r="T27" i="2" s="1"/>
  <c r="T15" i="2"/>
</calcChain>
</file>

<file path=xl/sharedStrings.xml><?xml version="1.0" encoding="utf-8"?>
<sst xmlns="http://schemas.openxmlformats.org/spreadsheetml/2006/main" count="1714" uniqueCount="531">
  <si>
    <t>Total</t>
  </si>
  <si>
    <t>HAN</t>
  </si>
  <si>
    <t>HAD</t>
  </si>
  <si>
    <t>HLC</t>
  </si>
  <si>
    <t>HCM</t>
  </si>
  <si>
    <t>Office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</si>
  <si>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</si>
  <si>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</si>
  <si>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</si>
  <si>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</si>
  <si>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</si>
  <si>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</si>
  <si>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</si>
  <si>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</si>
  <si>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</si>
  <si>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</si>
  <si>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</si>
  <si>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</si>
  <si>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</si>
  <si>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HC STATUS</t>
  </si>
  <si>
    <t>AI</t>
  </si>
  <si>
    <t>AE</t>
  </si>
  <si>
    <t>OILCL</t>
  </si>
  <si>
    <t>OIFCL</t>
  </si>
  <si>
    <t>OELCL</t>
  </si>
  <si>
    <t>OEFCL</t>
  </si>
  <si>
    <t>DI</t>
  </si>
  <si>
    <t>DE</t>
  </si>
  <si>
    <t>DM</t>
  </si>
  <si>
    <t>CE</t>
  </si>
  <si>
    <t>CI</t>
  </si>
  <si>
    <t>HE</t>
  </si>
  <si>
    <t>HI</t>
  </si>
  <si>
    <t>RE</t>
  </si>
  <si>
    <t>RI</t>
  </si>
  <si>
    <t>RD</t>
  </si>
  <si>
    <t>OE</t>
  </si>
  <si>
    <t>OI</t>
  </si>
  <si>
    <t>CC</t>
  </si>
  <si>
    <t>TR</t>
  </si>
  <si>
    <t>WH</t>
  </si>
  <si>
    <t>TOTAL</t>
  </si>
  <si>
    <t>Apr-26</t>
  </si>
  <si>
    <t>May-26</t>
  </si>
  <si>
    <t>Segment</t>
  </si>
  <si>
    <t>No.</t>
  </si>
  <si>
    <t>Customer</t>
  </si>
  <si>
    <t>Jun-26</t>
  </si>
  <si>
    <t>Jul-26</t>
  </si>
  <si>
    <t>UMC</t>
  </si>
  <si>
    <t>SDVN</t>
  </si>
  <si>
    <t>SEWS-CV</t>
  </si>
  <si>
    <t>NGSDVN</t>
  </si>
  <si>
    <t>KVP</t>
  </si>
  <si>
    <t>VIETINAK</t>
  </si>
  <si>
    <t>CRESYN</t>
  </si>
  <si>
    <t>EASTECH</t>
  </si>
  <si>
    <t>Schaeffler</t>
  </si>
  <si>
    <t>HANA BN</t>
  </si>
  <si>
    <t>FABRI-TECH</t>
  </si>
  <si>
    <t>IKKA</t>
  </si>
  <si>
    <t>TAISHODO</t>
  </si>
  <si>
    <t>WLV</t>
  </si>
  <si>
    <t>OHGITANI</t>
  </si>
  <si>
    <t>SEAPs</t>
  </si>
  <si>
    <t>TORAY (PACIFIC)</t>
  </si>
  <si>
    <t>NEV</t>
  </si>
  <si>
    <t>LIXIL</t>
  </si>
  <si>
    <t>BANDO</t>
  </si>
  <si>
    <t>SENKO TH</t>
  </si>
  <si>
    <t>SVAW</t>
  </si>
  <si>
    <t>AKEBONO</t>
  </si>
  <si>
    <t>NAGASE</t>
  </si>
  <si>
    <t>ABCD</t>
  </si>
  <si>
    <t>HAMADEN</t>
  </si>
  <si>
    <t>KANSAI</t>
  </si>
  <si>
    <t>CMV</t>
  </si>
  <si>
    <t>AIDEN</t>
  </si>
  <si>
    <t>BIVN</t>
  </si>
  <si>
    <t>MEKTEC</t>
  </si>
  <si>
    <t>YAMCO</t>
  </si>
  <si>
    <t>SENKO JP</t>
  </si>
  <si>
    <t>SENKO HK</t>
  </si>
  <si>
    <t>PROTERIAL</t>
  </si>
  <si>
    <t>DS VIETNAM</t>
  </si>
  <si>
    <t>HARTING</t>
  </si>
  <si>
    <t>FANUC</t>
  </si>
  <si>
    <t>SANWA</t>
  </si>
  <si>
    <t>MARUNIX</t>
  </si>
  <si>
    <t>HWEAR</t>
  </si>
  <si>
    <t>TSK</t>
  </si>
  <si>
    <t>HOKUYO</t>
  </si>
  <si>
    <t>NPR</t>
  </si>
  <si>
    <t>ICAM</t>
  </si>
  <si>
    <t>FIT</t>
  </si>
  <si>
    <t>IRISO</t>
  </si>
  <si>
    <t>HANA BG</t>
  </si>
  <si>
    <t>DOW</t>
  </si>
  <si>
    <t>TOWADENKI</t>
  </si>
  <si>
    <t>WONDERFUL</t>
  </si>
  <si>
    <t>SUZURAN</t>
  </si>
  <si>
    <t>VISCO</t>
  </si>
  <si>
    <t>CLIMAVENETA</t>
  </si>
  <si>
    <t>KTC</t>
  </si>
  <si>
    <t>DENKA VN</t>
  </si>
  <si>
    <t>Marubun</t>
  </si>
  <si>
    <t>IGV</t>
  </si>
  <si>
    <t>FUJISEIKO</t>
  </si>
  <si>
    <t>TORICA</t>
  </si>
  <si>
    <t>YOKOHAMA</t>
  </si>
  <si>
    <t>DATACOLOR</t>
  </si>
  <si>
    <t>SAMWHA HK</t>
  </si>
  <si>
    <t>NISSEI</t>
  </si>
  <si>
    <t>MOLTEN</t>
  </si>
  <si>
    <t>SANSEI</t>
  </si>
  <si>
    <t>THUC NGHIEP</t>
  </si>
  <si>
    <t>JFTV</t>
  </si>
  <si>
    <t>ACECOOK</t>
  </si>
  <si>
    <t>AvantChem</t>
  </si>
  <si>
    <t>WEALTHY</t>
  </si>
  <si>
    <t>KURODA</t>
  </si>
  <si>
    <t>KOUYOHSIN</t>
  </si>
  <si>
    <t>DAESANG</t>
  </si>
  <si>
    <t>NFK</t>
  </si>
  <si>
    <t>TANTHANH</t>
  </si>
  <si>
    <t>SUYUE</t>
  </si>
  <si>
    <t>MYONGSHIN</t>
  </si>
  <si>
    <t>KOYO</t>
  </si>
  <si>
    <t>MITSUBA</t>
  </si>
  <si>
    <t>RICHDEMANDER</t>
  </si>
  <si>
    <t>TAEYANG</t>
  </si>
  <si>
    <t>JUNYUE</t>
  </si>
  <si>
    <t>POYUN</t>
  </si>
  <si>
    <t>KOREAJCC</t>
  </si>
  <si>
    <t>ASIAPACIFIC</t>
  </si>
  <si>
    <t>VIETSON</t>
  </si>
  <si>
    <t>OCHIAI</t>
  </si>
  <si>
    <t>GEMMY</t>
  </si>
  <si>
    <t>MKHV</t>
  </si>
  <si>
    <t>HAIVINA</t>
  </si>
  <si>
    <t>ADVPHARMA</t>
  </si>
  <si>
    <t>YENHUNG</t>
  </si>
  <si>
    <t>MSVINA</t>
  </si>
  <si>
    <t>REDSTAR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</si>
  <si>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</si>
  <si>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</si>
  <si>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</si>
  <si>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</si>
  <si>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</si>
  <si>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</si>
  <si>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</si>
  <si>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</si>
  <si>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CS PIC</t>
  </si>
  <si>
    <t>BTD</t>
  </si>
  <si>
    <t>BHT</t>
  </si>
  <si>
    <t>NTH</t>
  </si>
  <si>
    <t>NLC</t>
  </si>
  <si>
    <t>DTL</t>
  </si>
  <si>
    <t>NBN</t>
  </si>
  <si>
    <t>TTL</t>
  </si>
  <si>
    <t>THT</t>
  </si>
  <si>
    <t>HTT</t>
  </si>
  <si>
    <t>OFFICE</t>
  </si>
  <si>
    <t>Scope</t>
  </si>
  <si>
    <t>AE-ABBB</t>
  </si>
  <si>
    <t>AE-CBBB</t>
  </si>
  <si>
    <t>AE-CTAB</t>
  </si>
  <si>
    <t>AE-CTAW</t>
  </si>
  <si>
    <t>AE-CTBB</t>
  </si>
  <si>
    <t>AE-CTWB</t>
  </si>
  <si>
    <t>AE-TABB</t>
  </si>
  <si>
    <t>AE-TBBB</t>
  </si>
  <si>
    <t>AI-ABBB</t>
  </si>
  <si>
    <t>AI-CABB</t>
  </si>
  <si>
    <t>AI-CBBB</t>
  </si>
  <si>
    <t>AI-CGBB</t>
  </si>
  <si>
    <t>AI-CTAB</t>
  </si>
  <si>
    <t>AI-CTBB</t>
  </si>
  <si>
    <t>AI-CTGB</t>
  </si>
  <si>
    <t>AI-CTWB</t>
  </si>
  <si>
    <t>AI-CWBB</t>
  </si>
  <si>
    <t>CE-CBTB</t>
  </si>
  <si>
    <t>CE-CBTC</t>
  </si>
  <si>
    <t>CE-CBTW</t>
  </si>
  <si>
    <t>CI-CBBB</t>
  </si>
  <si>
    <t>CI-CWBB</t>
  </si>
  <si>
    <t>DE-CBBB</t>
  </si>
  <si>
    <t>DE-CGBB</t>
  </si>
  <si>
    <t>DE-CTBB</t>
  </si>
  <si>
    <t>DE-CTGB</t>
  </si>
  <si>
    <t>DE-CTWB</t>
  </si>
  <si>
    <t>DE-TATC</t>
  </si>
  <si>
    <t>DE-TBBB</t>
  </si>
  <si>
    <t>DE-TGBB</t>
  </si>
  <si>
    <t>DE-TWBB</t>
  </si>
  <si>
    <t>DI-CBBB</t>
  </si>
  <si>
    <t>DI-CTBB</t>
  </si>
  <si>
    <t>DI-CTGB</t>
  </si>
  <si>
    <t>DI-CTWB</t>
  </si>
  <si>
    <t>DI-GBBB</t>
  </si>
  <si>
    <t>DI-TGBB</t>
  </si>
  <si>
    <t>DI-TWBB</t>
  </si>
  <si>
    <t>DM-CBBB</t>
  </si>
  <si>
    <t>DM-CGBB</t>
  </si>
  <si>
    <t>DM-TBBB</t>
  </si>
  <si>
    <t>DM-TOTB</t>
  </si>
  <si>
    <t>OEFCL-CBBB</t>
  </si>
  <si>
    <t>OEFCL-CTBB</t>
  </si>
  <si>
    <t>OEFCL-CTOB</t>
  </si>
  <si>
    <t>OEFCL-CTWB</t>
  </si>
  <si>
    <t>OEFCL-FCTB</t>
  </si>
  <si>
    <t>OEFCL-OBBB</t>
  </si>
  <si>
    <t>OEFCL-TBBB</t>
  </si>
  <si>
    <t>OEFCL-TOBB</t>
  </si>
  <si>
    <t>OELCL-CBBB</t>
  </si>
  <si>
    <t>OELCL-CTBB</t>
  </si>
  <si>
    <t>OELCL-CTGB</t>
  </si>
  <si>
    <t>OELCL-CTOB</t>
  </si>
  <si>
    <t>OELCL-CTWB</t>
  </si>
  <si>
    <t>OELCL-OBBB</t>
  </si>
  <si>
    <t>OELCL-TBBB</t>
  </si>
  <si>
    <t>OELCL-TOBB</t>
  </si>
  <si>
    <t>OIFCL-CTBB</t>
  </si>
  <si>
    <t>OIFCL-CTGB</t>
  </si>
  <si>
    <t>OIFCL-CTOB</t>
  </si>
  <si>
    <t>OIFCL-CTOW</t>
  </si>
  <si>
    <t>OIFCL-CTWB</t>
  </si>
  <si>
    <t>OIFCL-CWBB</t>
  </si>
  <si>
    <t>OIFCL-OBBB</t>
  </si>
  <si>
    <t>OIFCL-TBBB</t>
  </si>
  <si>
    <t>OILCL-CBBB</t>
  </si>
  <si>
    <t>OILCL-CTBB</t>
  </si>
  <si>
    <t>OILCL-CTGB</t>
  </si>
  <si>
    <t>OILCL-CTOB</t>
  </si>
  <si>
    <t>OILCL-CTWB</t>
  </si>
  <si>
    <t>OILCL-CWBB</t>
  </si>
  <si>
    <t>OILCL-OBBB</t>
  </si>
  <si>
    <t>CCCO</t>
  </si>
  <si>
    <t>TRFU</t>
  </si>
  <si>
    <t>CCLS</t>
  </si>
  <si>
    <t>CSIN</t>
  </si>
  <si>
    <t>TRLA</t>
  </si>
  <si>
    <t>TRHI</t>
  </si>
  <si>
    <t>TRHE</t>
  </si>
  <si>
    <t>AE-AFOS</t>
  </si>
  <si>
    <t>AI-AFOS</t>
  </si>
  <si>
    <t>AE-OCDN</t>
  </si>
  <si>
    <t>AI-OCDN</t>
  </si>
  <si>
    <t>CCLD</t>
  </si>
  <si>
    <t>TRMD</t>
  </si>
  <si>
    <t>CSBK</t>
  </si>
  <si>
    <t>AEO</t>
  </si>
  <si>
    <t>KD</t>
  </si>
  <si>
    <t>MAC</t>
  </si>
  <si>
    <t>AE-CSMF</t>
  </si>
  <si>
    <t>AI-CSMF</t>
  </si>
  <si>
    <t>OE-CSMF</t>
  </si>
  <si>
    <t>OI-CSMF</t>
  </si>
  <si>
    <t>SYSI</t>
  </si>
  <si>
    <t>CDEC</t>
  </si>
  <si>
    <t>CDMG</t>
  </si>
  <si>
    <t>SCHG</t>
  </si>
  <si>
    <t>CAPS</t>
  </si>
  <si>
    <t>DOCD</t>
  </si>
  <si>
    <t>EXCEPTION DETAIL</t>
  </si>
  <si>
    <t>BU</t>
  </si>
  <si>
    <t>CODE</t>
  </si>
  <si>
    <t>VNACCS failure</t>
  </si>
  <si>
    <t>Wrong CDS</t>
  </si>
  <si>
    <t xml:space="preserve">Wrong/lack of Shipping Doc </t>
  </si>
  <si>
    <t>Trouble shooting</t>
  </si>
  <si>
    <t>Vessel/Flight delay/skip/change vessel/schedule</t>
  </si>
  <si>
    <t>Cargo damage (all types)</t>
  </si>
  <si>
    <t>Criteria</t>
  </si>
  <si>
    <t>S</t>
  </si>
  <si>
    <t>N</t>
  </si>
  <si>
    <t>C</t>
  </si>
  <si>
    <t>Core Volume</t>
  </si>
  <si>
    <t>Ancillary Volume</t>
  </si>
  <si>
    <t>Supporting Volume</t>
  </si>
  <si>
    <t>Exception Volume</t>
  </si>
  <si>
    <t>Core Workload (min)</t>
  </si>
  <si>
    <t>Ancillary Workload (min)</t>
  </si>
  <si>
    <t>Supporting Workload (min)</t>
  </si>
  <si>
    <t>Exception Workload (min)</t>
  </si>
  <si>
    <t>WORKLOAD ALLOCATION</t>
  </si>
  <si>
    <t>Approved HC – Mgr</t>
  </si>
  <si>
    <t>Approved HC – PIC</t>
  </si>
  <si>
    <t>Total Approved HC</t>
  </si>
  <si>
    <t>Actual HC – Mgr</t>
  </si>
  <si>
    <t>Actual HC – PIC</t>
  </si>
  <si>
    <t>Total Actual  HC</t>
  </si>
  <si>
    <t>Required HC – Mgr</t>
  </si>
  <si>
    <t>Required HC – PIC</t>
  </si>
  <si>
    <t>Total Required HC</t>
  </si>
  <si>
    <t>HC Utilization (%)</t>
  </si>
  <si>
    <t>HC Status</t>
  </si>
  <si>
    <t>Active Customers</t>
  </si>
  <si>
    <t>Total Workload (min)</t>
  </si>
  <si>
    <t>SHIPMENT VOLUME BY CUSTOMER</t>
  </si>
  <si>
    <t>SHIPMENT VOLUME BY OFFICE</t>
  </si>
  <si>
    <t>SHIPMENT VOLUME BY CUSTOMER - HAD</t>
  </si>
  <si>
    <t>SHIPMENT VOLUME BY CUSTOMER - HAN</t>
  </si>
  <si>
    <t>SHIPMENT VOLUME BY CUSTOMER - HLC</t>
  </si>
  <si>
    <t>SHIPMENT VOLUME BY CUSTOMER - HCM</t>
  </si>
  <si>
    <t>FTE BY CS PIC</t>
  </si>
  <si>
    <t>SHIPMENT VOLUME BY CORE SERVICE</t>
  </si>
  <si>
    <t xml:space="preserve">SHIPMENT VOLUME BY ANCILLARY SERVICE </t>
  </si>
  <si>
    <t>SHIPMENT VOLUME BY SUPPOTING ACTIVITY</t>
  </si>
  <si>
    <t>SHIPMENT VOLUME BY EXCEPTION HANDLING</t>
  </si>
  <si>
    <t>BU Workload Share (%)</t>
  </si>
  <si>
    <t>1 FTE/tháng = 8 giờ × 95% × 22 ngày = 167.2 giờ/tháng = 10,032 phút/tháng.</t>
  </si>
  <si>
    <t>Mode</t>
  </si>
  <si>
    <t>AIR IMPORT</t>
  </si>
  <si>
    <t xml:space="preserve">AIR EXPORT </t>
  </si>
  <si>
    <t>SEA IMPORT</t>
  </si>
  <si>
    <t>DOMESTIC IMPORT</t>
  </si>
  <si>
    <t>DOMESTIC EXPORT</t>
  </si>
  <si>
    <t xml:space="preserve"> INLAND FROM POINT A TO POINT B ONLY </t>
  </si>
  <si>
    <t>CROSSBORDER EXPORT</t>
  </si>
  <si>
    <t>CROSSBORDER  IMPORT</t>
  </si>
  <si>
    <t>HANDCARRY EXPORT</t>
  </si>
  <si>
    <t>HANDCARRY IMPORT</t>
  </si>
  <si>
    <t>RAIL EXPORT</t>
  </si>
  <si>
    <t>RAIL IMPORT</t>
  </si>
  <si>
    <t>RAIL DOMESTIC</t>
  </si>
  <si>
    <t>Scope of Job</t>
  </si>
  <si>
    <t>CTAW</t>
  </si>
  <si>
    <t>Customs + Trucking + Air + B.Warehouse</t>
  </si>
  <si>
    <t>CTOW</t>
  </si>
  <si>
    <t>Customs + Trucking + Ocean + B.Warehouse</t>
  </si>
  <si>
    <t>CTOB</t>
  </si>
  <si>
    <t>Customs + Trucking + Ocean</t>
  </si>
  <si>
    <t>CTAB</t>
  </si>
  <si>
    <t>Customs + Trucking + Air</t>
  </si>
  <si>
    <t>CTWB</t>
  </si>
  <si>
    <t>Customs + Trucking +B. Warehouse</t>
  </si>
  <si>
    <t>CTRB</t>
  </si>
  <si>
    <t>Customs + Trucking + Rail</t>
  </si>
  <si>
    <t>CAWB</t>
  </si>
  <si>
    <t>Customs + Air + B.Warehouse</t>
  </si>
  <si>
    <t>COWB</t>
  </si>
  <si>
    <t>Customs + Ocean + B.Warehouse</t>
  </si>
  <si>
    <t>CTBB</t>
  </si>
  <si>
    <t>Customs + Trucking</t>
  </si>
  <si>
    <t>CWBB</t>
  </si>
  <si>
    <t>Customs +B. Warehouse</t>
  </si>
  <si>
    <t>COBB</t>
  </si>
  <si>
    <t>Customs + Ocean</t>
  </si>
  <si>
    <t>CABB</t>
  </si>
  <si>
    <t>Customs + Air</t>
  </si>
  <si>
    <t>CTCR</t>
  </si>
  <si>
    <t>Customs + Trucking + Cross-Border Rail</t>
  </si>
  <si>
    <t>CRBB</t>
  </si>
  <si>
    <t>Customs + Rail</t>
  </si>
  <si>
    <t>CARB</t>
  </si>
  <si>
    <t>Customs + Air + Rail</t>
  </si>
  <si>
    <t>CWRB</t>
  </si>
  <si>
    <t>Customs + B.Warehouse + Rail</t>
  </si>
  <si>
    <t>CORB</t>
  </si>
  <si>
    <t>Customs + Ocean + Rail</t>
  </si>
  <si>
    <t>COWR</t>
  </si>
  <si>
    <t>Customs + Ocean + B.Warehouse + Rail</t>
  </si>
  <si>
    <t>TAWB</t>
  </si>
  <si>
    <t>Trucking + Air + B.Warehouse</t>
  </si>
  <si>
    <t>TOBB</t>
  </si>
  <si>
    <t>Trucking + Ocean</t>
  </si>
  <si>
    <t>TOWB</t>
  </si>
  <si>
    <t>Trucking + Ocean +B.Warehouse</t>
  </si>
  <si>
    <t>TABB</t>
  </si>
  <si>
    <t>Trucking + Air</t>
  </si>
  <si>
    <t>TBBB</t>
  </si>
  <si>
    <t>Trucking Only</t>
  </si>
  <si>
    <t>TWBB</t>
  </si>
  <si>
    <t>Trucking +B.Warehouse</t>
  </si>
  <si>
    <t>TRBB</t>
  </si>
  <si>
    <t>Trucking + Rail</t>
  </si>
  <si>
    <t>TAOB</t>
  </si>
  <si>
    <t>Trucking + Air + Ocean</t>
  </si>
  <si>
    <t>TARB</t>
  </si>
  <si>
    <t>Trucking + Air + Rail</t>
  </si>
  <si>
    <t>TORB</t>
  </si>
  <si>
    <t>Trucking + Ocean + Rail</t>
  </si>
  <si>
    <t>TWRB</t>
  </si>
  <si>
    <t>Trucking +B.Warehouse + Rail</t>
  </si>
  <si>
    <t>UBBB</t>
  </si>
  <si>
    <t>Trucking Round-Use</t>
  </si>
  <si>
    <t>MBBB</t>
  </si>
  <si>
    <t>Trucking Milkrun/Shuttle</t>
  </si>
  <si>
    <t>ABBB</t>
  </si>
  <si>
    <t>Air Freight Only</t>
  </si>
  <si>
    <t>OBBB</t>
  </si>
  <si>
    <t>Ocean Freight Only</t>
  </si>
  <si>
    <t>WBBB</t>
  </si>
  <si>
    <t>B.Warehouse Only</t>
  </si>
  <si>
    <t>RBBB</t>
  </si>
  <si>
    <t>Rail Only</t>
  </si>
  <si>
    <t>AWBB</t>
  </si>
  <si>
    <t>Air + B.Warehouse</t>
  </si>
  <si>
    <t>OWBB</t>
  </si>
  <si>
    <t>Ocean +B. Warehouse</t>
  </si>
  <si>
    <t>ARBB</t>
  </si>
  <si>
    <t>Air + Rail</t>
  </si>
  <si>
    <t>ORBB</t>
  </si>
  <si>
    <t>Ocean + Rail</t>
  </si>
  <si>
    <t>WRBB</t>
  </si>
  <si>
    <t>B.Warehouse + Rail</t>
  </si>
  <si>
    <t>AWRB</t>
  </si>
  <si>
    <t>Air + B.Warehouse + Rail</t>
  </si>
  <si>
    <t>OWRB</t>
  </si>
  <si>
    <t>Ocean +B. Warehouse + Rail</t>
  </si>
  <si>
    <t>CBTB</t>
  </si>
  <si>
    <t>Cross-Border Truck</t>
  </si>
  <si>
    <t>CBTW</t>
  </si>
  <si>
    <t>Cross-Border + B.Warehouse</t>
  </si>
  <si>
    <t>CBTA</t>
  </si>
  <si>
    <t>Cross-Border Truck + Air</t>
  </si>
  <si>
    <t>CBTO</t>
  </si>
  <si>
    <t>Cross-Border + Ocean</t>
  </si>
  <si>
    <t>CBRB</t>
  </si>
  <si>
    <t>Cross-Border Rail</t>
  </si>
  <si>
    <t>BCLC</t>
  </si>
  <si>
    <t>Buyer Consol (Cross-Border Truck/Rail)</t>
  </si>
  <si>
    <t>BCLO</t>
  </si>
  <si>
    <t>Buyer Consol (Ocean)</t>
  </si>
  <si>
    <t>APRB</t>
  </si>
  <si>
    <t>Air Charter</t>
  </si>
  <si>
    <t>CBBB</t>
  </si>
  <si>
    <t>Customs Only</t>
  </si>
  <si>
    <t>BBBB</t>
  </si>
  <si>
    <t>Other</t>
  </si>
  <si>
    <t>IBBB</t>
  </si>
  <si>
    <t>Trouble-shooting Handling</t>
  </si>
  <si>
    <t>FCTB</t>
  </si>
  <si>
    <t>Booking Agent + Customs + Truck</t>
  </si>
  <si>
    <t>FTBB</t>
  </si>
  <si>
    <t>Booking Agent + Truck</t>
  </si>
  <si>
    <t>FCBB</t>
  </si>
  <si>
    <t>Booking Agent + Customs</t>
  </si>
  <si>
    <t>FWBB</t>
  </si>
  <si>
    <t>Booking Agent +B. Warehouse</t>
  </si>
  <si>
    <t>FTWB</t>
  </si>
  <si>
    <t>Booking Agent + Truck +B. Warehouse</t>
  </si>
  <si>
    <t>FCWB</t>
  </si>
  <si>
    <t>Booking Agent + Customs +B. Warehouse</t>
  </si>
  <si>
    <t>FCTW</t>
  </si>
  <si>
    <t>Booking Agent + Customs + Truck +B. Warehouse</t>
  </si>
  <si>
    <t>FBBB</t>
  </si>
  <si>
    <t>Booking Agent</t>
  </si>
  <si>
    <t>VBBB</t>
  </si>
  <si>
    <t>Vendor Booking Release</t>
  </si>
  <si>
    <t>DBBB</t>
  </si>
  <si>
    <t>Vendor Doc</t>
  </si>
  <si>
    <t>CTAS</t>
  </si>
  <si>
    <t>Customs + Trucking + Air + CFS warehouse</t>
  </si>
  <si>
    <t>CTOS</t>
  </si>
  <si>
    <t>Customs + Trucking + Ocean + CFS warehouse</t>
  </si>
  <si>
    <t>CTSB</t>
  </si>
  <si>
    <t>Customs + Trucking + CFS warehouse</t>
  </si>
  <si>
    <t>CASB</t>
  </si>
  <si>
    <t>Customs + Air + CFS warehouse</t>
  </si>
  <si>
    <t>COSB</t>
  </si>
  <si>
    <t>Customs + Ocean + CFS warehouse</t>
  </si>
  <si>
    <t>CSBB</t>
  </si>
  <si>
    <t>Customs + CFS warehouse</t>
  </si>
  <si>
    <t>TASB</t>
  </si>
  <si>
    <t>Trucking + Air + CFS warehouse</t>
  </si>
  <si>
    <t>TOSB</t>
  </si>
  <si>
    <t>Trucking + Ocean + CFS warehouse</t>
  </si>
  <si>
    <t>TSBB</t>
  </si>
  <si>
    <t>Trucking + CFS warehouse</t>
  </si>
  <si>
    <t>SBBB</t>
  </si>
  <si>
    <t>CFS warehouse Only</t>
  </si>
  <si>
    <t>ASBB</t>
  </si>
  <si>
    <t>Air + CFS warehouse</t>
  </si>
  <si>
    <t>OSBB</t>
  </si>
  <si>
    <t>Ocean + CFS warehouse</t>
  </si>
  <si>
    <t>CBTS</t>
  </si>
  <si>
    <t>Cross-Border + CFS warehouse</t>
  </si>
  <si>
    <t>FSBB</t>
  </si>
  <si>
    <t>Booking Agent + CFS warehouse</t>
  </si>
  <si>
    <t>FTSB</t>
  </si>
  <si>
    <t>Booking Agent + Truck + CFS warehouse</t>
  </si>
  <si>
    <t>FCSB</t>
  </si>
  <si>
    <t>Booking Agent + Customs + CFS warehouse</t>
  </si>
  <si>
    <t>FCTS</t>
  </si>
  <si>
    <t>Booking Agent + Customs + Truck + CFS warehouse</t>
  </si>
  <si>
    <t>CTAG</t>
  </si>
  <si>
    <t>Customs + Trucking + Air + General warehouse</t>
  </si>
  <si>
    <t>CTOG</t>
  </si>
  <si>
    <t>Customs + Trucking + Ocean + General warehouse</t>
  </si>
  <si>
    <t>CTGB</t>
  </si>
  <si>
    <t>Customs + Trucking + General warehouse</t>
  </si>
  <si>
    <t>CAGB</t>
  </si>
  <si>
    <t>Customs + Air + General warehouse</t>
  </si>
  <si>
    <t>COGB</t>
  </si>
  <si>
    <t>Customs + Ocean + General warehouse</t>
  </si>
  <si>
    <t>CGBB</t>
  </si>
  <si>
    <t>Customs + General warehouse</t>
  </si>
  <si>
    <t>TAGB</t>
  </si>
  <si>
    <t>Trucking + Air + General warehouse</t>
  </si>
  <si>
    <t>TOGB</t>
  </si>
  <si>
    <t>Trucking + Ocean + General warehouse</t>
  </si>
  <si>
    <t>TGBB</t>
  </si>
  <si>
    <t>Trucking + General warehouse</t>
  </si>
  <si>
    <t>GBBB</t>
  </si>
  <si>
    <t>General warehouse Only</t>
  </si>
  <si>
    <t>AGBB</t>
  </si>
  <si>
    <t>Air + General warehouse</t>
  </si>
  <si>
    <t>OGBB</t>
  </si>
  <si>
    <t>Ocean + General warehouse</t>
  </si>
  <si>
    <t>CBTG</t>
  </si>
  <si>
    <t>Cross-Border + General warehouse</t>
  </si>
  <si>
    <t>FGBB</t>
  </si>
  <si>
    <t>Booking Agent + General warehouse</t>
  </si>
  <si>
    <t>FTGB</t>
  </si>
  <si>
    <t>Booking Agent + Truck + General warehouse</t>
  </si>
  <si>
    <t>FCGB</t>
  </si>
  <si>
    <t>Booking Agent + Customs + General warehouse</t>
  </si>
  <si>
    <t>FCTG</t>
  </si>
  <si>
    <t>Booking Agent + Customs + Truck + General warehouse</t>
  </si>
  <si>
    <t>TTTB</t>
  </si>
  <si>
    <t>Truck Sea Truck</t>
  </si>
  <si>
    <t>TTBB</t>
  </si>
  <si>
    <t>Truck Air Truck</t>
  </si>
  <si>
    <t>AECO</t>
  </si>
  <si>
    <t>CO only</t>
  </si>
  <si>
    <t>DECO</t>
  </si>
  <si>
    <t>OEFCLCO</t>
  </si>
  <si>
    <t>OELCLCO</t>
  </si>
  <si>
    <t>Required FTE = Total Workload (phút) ÷ [FTE_MINUTES × Số tháng có dữ liệu Workload]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</si>
</sst>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/mmm/yy;@"/>
    <numFmt numFmtId="165" formatCode="_(* #,##0_);_(* \(#,##0\);_(* &quot;-&quot;??_);_(@_)"/>
    <numFmt numFmtId="166" formatCode="0.0"/>
    <numFmt numFmtId="167" formatCode="#,##0.00;\-#,##0.00;\-"/>
    <numFmt numFmtId="168" formatCode="[$-409]mmm\-yy;@"/>
    <numFmt numFmtId="169" formatCode="[$-1010409]d/m/yyyy\ h:mm\ AM/PM;@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rlito"/>
    </font>
    <font>
      <sz val="8"/>
      <name val="Aptos Narrow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Aptos Narrow"/>
      <family val="2"/>
      <charset val="204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1"/>
      <color theme="1"/>
      <name val="Aptos Narrow"/>
      <family val="2"/>
      <scheme val="minor"/>
    </font>
    <font>
      <b/>
      <sz val="10"/>
      <name val="Calibri (Body)"/>
    </font>
    <font>
      <sz val="11"/>
      <name val="Aptos Narrow"/>
      <family val="2"/>
      <scheme val="minor"/>
    </font>
    <font>
      <sz val="11"/>
      <color rgb="FFFF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4" fontId="4" fillId="0" borderId="0"/>
    <xf numFmtId="0" fontId="5" fillId="0" borderId="0"/>
  </cellStyleXfs>
  <cellXfs count="98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3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5" borderId="4" xfId="3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9" fontId="8" fillId="0" borderId="4" xfId="2" applyFont="1" applyBorder="1" applyAlignment="1">
      <alignment vertical="center"/>
    </xf>
    <xf numFmtId="9" fontId="9" fillId="5" borderId="4" xfId="0" applyNumberFormat="1" applyFont="1" applyFill="1" applyBorder="1" applyAlignment="1">
      <alignment vertical="center"/>
    </xf>
    <xf numFmtId="0" fontId="9" fillId="2" borderId="4" xfId="3" applyFont="1" applyFill="1" applyBorder="1" applyAlignment="1">
      <alignment horizontal="center" vertical="center" wrapText="1"/>
    </xf>
    <xf numFmtId="166" fontId="9" fillId="2" borderId="4" xfId="3" applyNumberFormat="1" applyFont="1" applyFill="1" applyBorder="1" applyAlignment="1">
      <alignment horizontal="center" vertical="center" wrapText="1"/>
    </xf>
    <xf numFmtId="166" fontId="9" fillId="5" borderId="4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8" fillId="4" borderId="4" xfId="1" applyNumberFormat="1" applyFont="1" applyFill="1" applyBorder="1" applyAlignment="1">
      <alignment horizontal="center" vertical="center" wrapText="1"/>
    </xf>
    <xf numFmtId="165" fontId="8" fillId="4" borderId="4" xfId="1" applyNumberFormat="1" applyFont="1" applyFill="1" applyBorder="1" applyAlignment="1">
      <alignment horizontal="center" vertical="center"/>
    </xf>
    <xf numFmtId="0" fontId="9" fillId="0" borderId="4" xfId="1" applyNumberFormat="1" applyFont="1" applyBorder="1" applyAlignment="1">
      <alignment horizontal="center" vertical="center"/>
    </xf>
    <xf numFmtId="165" fontId="9" fillId="0" borderId="4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center" vertical="center"/>
    </xf>
    <xf numFmtId="165" fontId="9" fillId="0" borderId="4" xfId="1" applyNumberFormat="1" applyFont="1" applyBorder="1" applyAlignment="1">
      <alignment horizontal="center" vertical="center" wrapText="1"/>
    </xf>
    <xf numFmtId="0" fontId="9" fillId="2" borderId="4" xfId="1" applyNumberFormat="1" applyFont="1" applyFill="1" applyBorder="1" applyAlignment="1">
      <alignment horizontal="center" vertical="center" wrapText="1"/>
    </xf>
    <xf numFmtId="165" fontId="9" fillId="2" borderId="4" xfId="1" applyNumberFormat="1" applyFont="1" applyFill="1" applyBorder="1" applyAlignment="1">
      <alignment horizontal="center" vertical="center" wrapText="1"/>
    </xf>
    <xf numFmtId="9" fontId="9" fillId="0" borderId="0" xfId="2" applyFont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9" fontId="8" fillId="4" borderId="3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5" applyFont="1" applyFill="1" applyBorder="1" applyAlignment="1">
      <alignment horizontal="center" vertical="center"/>
    </xf>
    <xf numFmtId="165" fontId="9" fillId="0" borderId="3" xfId="1" applyNumberFormat="1" applyFont="1" applyBorder="1" applyAlignment="1">
      <alignment horizontal="center" vertical="center"/>
    </xf>
    <xf numFmtId="165" fontId="8" fillId="6" borderId="3" xfId="0" applyNumberFormat="1" applyFont="1" applyFill="1" applyBorder="1" applyAlignment="1">
      <alignment horizontal="center" vertical="center"/>
    </xf>
    <xf numFmtId="165" fontId="9" fillId="3" borderId="2" xfId="1" applyNumberFormat="1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165" fontId="9" fillId="3" borderId="3" xfId="1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4" borderId="4" xfId="0" applyFont="1" applyFill="1" applyBorder="1" applyAlignment="1">
      <alignment horizontal="center" vertical="center"/>
    </xf>
    <xf numFmtId="168" fontId="6" fillId="4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167" fontId="7" fillId="0" borderId="5" xfId="0" applyNumberFormat="1" applyFont="1" applyBorder="1" applyAlignment="1">
      <alignment vertical="center"/>
    </xf>
    <xf numFmtId="167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5" fontId="7" fillId="0" borderId="0" xfId="1" applyNumberFormat="1" applyFont="1"/>
    <xf numFmtId="0" fontId="6" fillId="4" borderId="1" xfId="0" applyFont="1" applyFill="1" applyBorder="1" applyAlignment="1">
      <alignment horizontal="center" vertical="center"/>
    </xf>
    <xf numFmtId="16" fontId="6" fillId="4" borderId="3" xfId="0" quotePrefix="1" applyNumberFormat="1" applyFont="1" applyFill="1" applyBorder="1" applyAlignment="1">
      <alignment horizontal="center" vertical="center"/>
    </xf>
    <xf numFmtId="0" fontId="6" fillId="4" borderId="3" xfId="0" quotePrefix="1" applyFont="1" applyFill="1" applyBorder="1" applyAlignment="1">
      <alignment horizontal="center" vertical="center"/>
    </xf>
    <xf numFmtId="165" fontId="6" fillId="4" borderId="3" xfId="1" applyNumberFormat="1" applyFont="1" applyFill="1" applyBorder="1" applyAlignment="1">
      <alignment horizontal="center" vertical="center"/>
    </xf>
    <xf numFmtId="165" fontId="7" fillId="0" borderId="3" xfId="1" applyNumberFormat="1" applyFont="1" applyFill="1" applyBorder="1" applyAlignment="1">
      <alignment horizontal="center" vertical="center"/>
    </xf>
    <xf numFmtId="165" fontId="7" fillId="0" borderId="3" xfId="1" applyNumberFormat="1" applyFont="1" applyFill="1" applyBorder="1"/>
    <xf numFmtId="165" fontId="6" fillId="5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165" fontId="7" fillId="0" borderId="4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vertical="center"/>
    </xf>
    <xf numFmtId="165" fontId="7" fillId="0" borderId="0" xfId="1" applyNumberFormat="1" applyFont="1" applyAlignment="1">
      <alignment vertical="center"/>
    </xf>
    <xf numFmtId="165" fontId="6" fillId="5" borderId="4" xfId="1" applyNumberFormat="1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9" fontId="8" fillId="0" borderId="3" xfId="2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165" fontId="9" fillId="0" borderId="3" xfId="1" applyNumberFormat="1" applyFont="1" applyFill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0" fillId="0" borderId="0" xfId="0" applyFont="1"/>
    <xf numFmtId="165" fontId="9" fillId="8" borderId="3" xfId="1" applyNumberFormat="1" applyFont="1" applyFill="1" applyBorder="1" applyAlignment="1">
      <alignment horizontal="center" vertical="center"/>
    </xf>
    <xf numFmtId="169" fontId="11" fillId="9" borderId="4" xfId="5" applyNumberFormat="1" applyFont="1" applyFill="1" applyBorder="1" applyAlignment="1" applyProtection="1">
      <alignment horizontal="center" vertical="center" wrapText="1"/>
      <protection locked="0"/>
    </xf>
    <xf numFmtId="169" fontId="11" fillId="9" borderId="1" xfId="5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/>
    <xf numFmtId="164" fontId="12" fillId="0" borderId="4" xfId="4" applyFont="1" applyBorder="1" applyAlignment="1">
      <alignment vertical="center"/>
    </xf>
    <xf numFmtId="0" fontId="12" fillId="10" borderId="4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0" fillId="8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3" borderId="4" xfId="0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4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6">
    <cellStyle name="Comma" xfId="1" builtinId="3"/>
    <cellStyle name="Normal" xfId="0" builtinId="0"/>
    <cellStyle name="Normal 2" xfId="3" xr:uid="{E46A58A0-1B38-4921-8DA3-4AA597AB269E}"/>
    <cellStyle name="Normal 5 2 2" xfId="5" xr:uid="{FF012F4F-F4E6-4AF1-B496-9A13D76F786A}"/>
    <cellStyle name="Percent" xfId="2" builtinId="5"/>
    <cellStyle name="標準_1問題1シートBlank" xfId="4" xr:uid="{A683D387-F1ED-42C3-928D-68831043DFA8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2</xdr:row>
      <xdr:rowOff>69850</xdr:rowOff>
    </xdr:from>
    <xdr:to>
      <xdr:col>5</xdr:col>
      <xdr:colOff>393093</xdr:colOff>
      <xdr:row>7</xdr:row>
      <xdr:rowOff>44338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1446E-935B-3515-9DA6-5714F426E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438150"/>
          <a:ext cx="4857143" cy="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A87E-D01F-4073-9415-9ED2187F1400}">
  <dimension ref="A1:M50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9" sqref="M19"/>
    </sheetView>
  </sheetViews>
  <sheetFormatPr defaultRowHeight="16"/>
  <cols>
    <col min="1" max="1" width="10.90625" style="5" bestFit="1" customWidth="1"/>
    <col min="2" max="2" width="6.6328125" style="5" bestFit="1" customWidth="1"/>
    <col min="3" max="4" width="12.1796875" style="5" bestFit="1" customWidth="1"/>
    <col min="5" max="5" width="12.6328125" style="5" bestFit="1" customWidth="1"/>
    <col min="6" max="7" width="11" style="5" bestFit="1" customWidth="1"/>
    <col min="8" max="8" width="11.36328125" style="5" bestFit="1" customWidth="1"/>
    <col min="9" max="10" width="11.54296875" style="5" bestFit="1" customWidth="1"/>
    <col min="11" max="11" width="11.81640625" style="5" bestFit="1" customWidth="1"/>
    <col min="12" max="12" width="12.90625" style="5" bestFit="1" customWidth="1"/>
    <col min="13" max="13" width="9.26953125" style="5" bestFit="1" customWidth="1"/>
    <col min="14" max="16384" width="8.7265625" style="5"/>
  </cols>
  <sheetData>
    <row r="1" spans="1:13">
      <c r="A1" s="4" t="s">
        <v>19</v>
      </c>
    </row>
    <row r="2" spans="1:13" ht="33" customHeight="1">
      <c r="A2" s="6" t="s">
        <v>5</v>
      </c>
      <c r="B2" s="6" t="s">
        <v>6</v>
      </c>
      <c r="C2" s="7" t="s">
        <v>286</v>
      </c>
      <c r="D2" s="7" t="s">
        <v>287</v>
      </c>
      <c r="E2" s="7" t="s">
        <v>288</v>
      </c>
      <c r="F2" s="7" t="s">
        <v>289</v>
      </c>
      <c r="G2" s="7" t="s">
        <v>290</v>
      </c>
      <c r="H2" s="7" t="s">
        <v>291</v>
      </c>
      <c r="I2" s="7" t="s">
        <v>292</v>
      </c>
      <c r="J2" s="7" t="s">
        <v>293</v>
      </c>
      <c r="K2" s="7" t="s">
        <v>294</v>
      </c>
      <c r="L2" s="8" t="s">
        <v>295</v>
      </c>
      <c r="M2" s="8" t="s">
        <v>296</v>
      </c>
    </row>
    <row r="3" spans="1:13">
      <c r="A3" s="9" t="s">
        <v>2</v>
      </c>
      <c r="B3" s="9" t="s">
        <v>7</v>
      </c>
      <c r="C3" s="9">
        <v>2</v>
      </c>
      <c r="D3" s="9">
        <v>9</v>
      </c>
      <c r="E3" s="10">
        <f>SUM(C3:D3)</f>
        <v>11</v>
      </c>
      <c r="F3" s="9">
        <v>2</v>
      </c>
      <c r="G3" s="9">
        <v>9</v>
      </c>
      <c r="H3" s="10">
        <f>SUM(F3:G3)</f>
        <v>11</v>
      </c>
      <c r="I3" s="11">
        <v>2</v>
      </c>
      <c r="J3" s="11">
        <v>9.56</v>
      </c>
      <c r="K3" s="12">
        <f>J3+I3</f>
        <v>11.56</v>
      </c>
      <c r="L3" s="13">
        <f>IF(K3&gt;0,K3/H3,"")</f>
        <v>1.050909090909091</v>
      </c>
      <c r="M3" s="11" t="str">
        <f>IF(L3="","",IF(L3&gt;100%,"Overload",IF(L3&gt;95%,"High Load",IF(L3&gt;=90%,"Balanced","Low Load"))))</f>
        <v>Overload</v>
      </c>
    </row>
    <row r="4" spans="1:13">
      <c r="A4" s="9" t="s">
        <v>2</v>
      </c>
      <c r="B4" s="9" t="s">
        <v>8</v>
      </c>
      <c r="C4" s="9">
        <v>2</v>
      </c>
      <c r="D4" s="9">
        <v>9</v>
      </c>
      <c r="E4" s="10">
        <f t="shared" ref="E4" si="0">SUM(C4:D4)</f>
        <v>11</v>
      </c>
      <c r="F4" s="9">
        <v>2</v>
      </c>
      <c r="G4" s="9">
        <v>9</v>
      </c>
      <c r="H4" s="10">
        <f t="shared" ref="H4" si="1">SUM(F4:G4)</f>
        <v>11</v>
      </c>
      <c r="I4" s="11">
        <v>2</v>
      </c>
      <c r="J4" s="11">
        <v>9.3800000000000008</v>
      </c>
      <c r="K4" s="12">
        <f>J4+I4</f>
        <v>11.38</v>
      </c>
      <c r="L4" s="13">
        <f t="shared" ref="L4:L50" si="2">IF(K4&gt;0,K4/H4,"")</f>
        <v>1.0345454545454547</v>
      </c>
      <c r="M4" s="11" t="str">
        <f t="shared" ref="M4:M13" si="3">IF(L4="","",IF(L4&gt;100%,"Overload",IF(L4&gt;95%,"High Load",IF(L4&gt;=90%,"Balanced","Low Load"))))</f>
        <v>Overload</v>
      </c>
    </row>
    <row r="5" spans="1:13">
      <c r="A5" s="9" t="s">
        <v>2</v>
      </c>
      <c r="B5" s="9" t="s">
        <v>9</v>
      </c>
      <c r="C5" s="9"/>
      <c r="D5" s="9"/>
      <c r="E5" s="10"/>
      <c r="F5" s="9"/>
      <c r="G5" s="9"/>
      <c r="H5" s="10"/>
      <c r="I5" s="11"/>
      <c r="J5" s="11"/>
      <c r="K5" s="12"/>
      <c r="L5" s="13" t="str">
        <f t="shared" si="2"/>
        <v/>
      </c>
      <c r="M5" s="11" t="str">
        <f t="shared" si="3"/>
        <v/>
      </c>
    </row>
    <row r="6" spans="1:13">
      <c r="A6" s="9" t="s">
        <v>2</v>
      </c>
      <c r="B6" s="9" t="s">
        <v>10</v>
      </c>
      <c r="C6" s="9"/>
      <c r="D6" s="9"/>
      <c r="E6" s="10"/>
      <c r="F6" s="9"/>
      <c r="G6" s="9"/>
      <c r="H6" s="10"/>
      <c r="I6" s="11"/>
      <c r="J6" s="11"/>
      <c r="K6" s="12"/>
      <c r="L6" s="13" t="str">
        <f t="shared" si="2"/>
        <v/>
      </c>
      <c r="M6" s="11" t="str">
        <f t="shared" si="3"/>
        <v/>
      </c>
    </row>
    <row r="7" spans="1:13">
      <c r="A7" s="9" t="s">
        <v>2</v>
      </c>
      <c r="B7" s="9" t="s">
        <v>11</v>
      </c>
      <c r="C7" s="9"/>
      <c r="D7" s="9"/>
      <c r="E7" s="12"/>
      <c r="F7" s="9"/>
      <c r="G7" s="9"/>
      <c r="H7" s="12"/>
      <c r="I7" s="11"/>
      <c r="J7" s="11"/>
      <c r="K7" s="12"/>
      <c r="L7" s="13" t="str">
        <f t="shared" si="2"/>
        <v/>
      </c>
      <c r="M7" s="11" t="str">
        <f t="shared" si="3"/>
        <v/>
      </c>
    </row>
    <row r="8" spans="1:13">
      <c r="A8" s="9" t="s">
        <v>2</v>
      </c>
      <c r="B8" s="9" t="s">
        <v>12</v>
      </c>
      <c r="C8" s="9"/>
      <c r="D8" s="9"/>
      <c r="E8" s="12"/>
      <c r="F8" s="9"/>
      <c r="G8" s="9"/>
      <c r="H8" s="12"/>
      <c r="I8" s="11"/>
      <c r="J8" s="11"/>
      <c r="K8" s="12"/>
      <c r="L8" s="13" t="str">
        <f t="shared" si="2"/>
        <v/>
      </c>
      <c r="M8" s="11" t="str">
        <f t="shared" si="3"/>
        <v/>
      </c>
    </row>
    <row r="9" spans="1:13">
      <c r="A9" s="9" t="s">
        <v>2</v>
      </c>
      <c r="B9" s="9" t="s">
        <v>13</v>
      </c>
      <c r="C9" s="11"/>
      <c r="D9" s="11"/>
      <c r="E9" s="12"/>
      <c r="F9" s="11"/>
      <c r="G9" s="11"/>
      <c r="H9" s="12"/>
      <c r="I9" s="11"/>
      <c r="J9" s="11"/>
      <c r="K9" s="12"/>
      <c r="L9" s="13" t="str">
        <f t="shared" si="2"/>
        <v/>
      </c>
      <c r="M9" s="11" t="str">
        <f t="shared" si="3"/>
        <v/>
      </c>
    </row>
    <row r="10" spans="1:13">
      <c r="A10" s="9" t="s">
        <v>2</v>
      </c>
      <c r="B10" s="9" t="s">
        <v>14</v>
      </c>
      <c r="C10" s="11"/>
      <c r="D10" s="11"/>
      <c r="E10" s="12"/>
      <c r="F10" s="11"/>
      <c r="G10" s="11"/>
      <c r="H10" s="12"/>
      <c r="I10" s="11"/>
      <c r="J10" s="11"/>
      <c r="K10" s="12"/>
      <c r="L10" s="13" t="str">
        <f t="shared" si="2"/>
        <v/>
      </c>
      <c r="M10" s="11" t="str">
        <f t="shared" si="3"/>
        <v/>
      </c>
    </row>
    <row r="11" spans="1:13">
      <c r="A11" s="9" t="s">
        <v>2</v>
      </c>
      <c r="B11" s="9" t="s">
        <v>15</v>
      </c>
      <c r="C11" s="11"/>
      <c r="D11" s="11"/>
      <c r="E11" s="12"/>
      <c r="F11" s="11"/>
      <c r="G11" s="11"/>
      <c r="H11" s="12"/>
      <c r="I11" s="11"/>
      <c r="J11" s="11"/>
      <c r="K11" s="12"/>
      <c r="L11" s="13" t="str">
        <f t="shared" si="2"/>
        <v/>
      </c>
      <c r="M11" s="11" t="str">
        <f t="shared" si="3"/>
        <v/>
      </c>
    </row>
    <row r="12" spans="1:13">
      <c r="A12" s="9" t="s">
        <v>2</v>
      </c>
      <c r="B12" s="9" t="s">
        <v>16</v>
      </c>
      <c r="C12" s="11"/>
      <c r="D12" s="11"/>
      <c r="E12" s="12"/>
      <c r="F12" s="11"/>
      <c r="G12" s="11"/>
      <c r="H12" s="12"/>
      <c r="I12" s="11"/>
      <c r="J12" s="11"/>
      <c r="K12" s="12"/>
      <c r="L12" s="13" t="str">
        <f t="shared" si="2"/>
        <v/>
      </c>
      <c r="M12" s="11" t="str">
        <f t="shared" si="3"/>
        <v/>
      </c>
    </row>
    <row r="13" spans="1:13">
      <c r="A13" s="9" t="s">
        <v>2</v>
      </c>
      <c r="B13" s="9" t="s">
        <v>17</v>
      </c>
      <c r="C13" s="11"/>
      <c r="D13" s="11"/>
      <c r="E13" s="12"/>
      <c r="F13" s="11"/>
      <c r="G13" s="11"/>
      <c r="H13" s="12"/>
      <c r="I13" s="11"/>
      <c r="J13" s="11"/>
      <c r="K13" s="12"/>
      <c r="L13" s="13" t="str">
        <f t="shared" si="2"/>
        <v/>
      </c>
      <c r="M13" s="11" t="str">
        <f t="shared" si="3"/>
        <v/>
      </c>
    </row>
    <row r="14" spans="1:13">
      <c r="A14" s="9" t="s">
        <v>2</v>
      </c>
      <c r="B14" s="9" t="s">
        <v>18</v>
      </c>
      <c r="C14" s="11"/>
      <c r="D14" s="11"/>
      <c r="E14" s="14"/>
      <c r="F14" s="11"/>
      <c r="G14" s="11"/>
      <c r="H14" s="12"/>
      <c r="I14" s="11"/>
      <c r="J14" s="11"/>
      <c r="K14" s="12"/>
      <c r="L14" s="13" t="str">
        <f t="shared" si="2"/>
        <v/>
      </c>
      <c r="M14" s="11" t="str">
        <f>IF(L14="","",IF(L14&gt;100%,"Overload",IF(L14&gt;95%,"High Load",IF(L14&gt;=90%,"Balanced","Low Load"))))</f>
        <v/>
      </c>
    </row>
    <row r="15" spans="1:13">
      <c r="A15" s="9" t="s">
        <v>1</v>
      </c>
      <c r="B15" s="9" t="s">
        <v>7</v>
      </c>
      <c r="C15" s="15">
        <v>2</v>
      </c>
      <c r="D15" s="15">
        <v>20</v>
      </c>
      <c r="E15" s="10">
        <f t="shared" ref="E15:E16" si="4">SUM(C15:D15)</f>
        <v>22</v>
      </c>
      <c r="F15" s="15">
        <v>2</v>
      </c>
      <c r="G15" s="15">
        <v>20</v>
      </c>
      <c r="H15" s="10">
        <f t="shared" ref="H15:H16" si="5">SUM(F15:G15)</f>
        <v>22</v>
      </c>
      <c r="I15" s="11">
        <v>2</v>
      </c>
      <c r="J15" s="11">
        <v>20.5</v>
      </c>
      <c r="K15" s="12">
        <f>J15+I15</f>
        <v>22.5</v>
      </c>
      <c r="L15" s="13">
        <f t="shared" si="2"/>
        <v>1.0227272727272727</v>
      </c>
      <c r="M15" s="11" t="str">
        <f>IF(L15="","",IF(L15&gt;100%,"Overload",IF(L15&gt;95%,"High Load",IF(L15&gt;=90%,"Balanced","Low Load"))))</f>
        <v>Overload</v>
      </c>
    </row>
    <row r="16" spans="1:13">
      <c r="A16" s="9" t="s">
        <v>1</v>
      </c>
      <c r="B16" s="9" t="s">
        <v>8</v>
      </c>
      <c r="C16" s="15">
        <v>2</v>
      </c>
      <c r="D16" s="15">
        <v>20</v>
      </c>
      <c r="E16" s="10">
        <f t="shared" si="4"/>
        <v>22</v>
      </c>
      <c r="F16" s="15">
        <v>2</v>
      </c>
      <c r="G16" s="15">
        <v>20</v>
      </c>
      <c r="H16" s="10">
        <f t="shared" si="5"/>
        <v>22</v>
      </c>
      <c r="I16" s="11">
        <v>2</v>
      </c>
      <c r="J16" s="11">
        <v>19.8</v>
      </c>
      <c r="K16" s="12">
        <f>J16+I16</f>
        <v>21.8</v>
      </c>
      <c r="L16" s="13">
        <f t="shared" si="2"/>
        <v>0.99090909090909096</v>
      </c>
      <c r="M16" s="11" t="str">
        <f t="shared" ref="M16:M49" si="6">IF(L16="","",IF(L16&gt;100%,"Overload",IF(L16&gt;95%,"High Load",IF(L16&gt;=90%,"Balanced","Low Load"))))</f>
        <v>High Load</v>
      </c>
    </row>
    <row r="17" spans="1:13">
      <c r="A17" s="9" t="s">
        <v>1</v>
      </c>
      <c r="B17" s="9" t="s">
        <v>9</v>
      </c>
      <c r="C17" s="15"/>
      <c r="D17" s="15"/>
      <c r="E17" s="10"/>
      <c r="F17" s="15"/>
      <c r="G17" s="15"/>
      <c r="H17" s="10"/>
      <c r="I17" s="11"/>
      <c r="J17" s="11"/>
      <c r="K17" s="12"/>
      <c r="L17" s="13" t="str">
        <f t="shared" si="2"/>
        <v/>
      </c>
      <c r="M17" s="11" t="str">
        <f t="shared" si="6"/>
        <v/>
      </c>
    </row>
    <row r="18" spans="1:13">
      <c r="A18" s="9" t="s">
        <v>1</v>
      </c>
      <c r="B18" s="9" t="s">
        <v>10</v>
      </c>
      <c r="C18" s="15"/>
      <c r="D18" s="15"/>
      <c r="E18" s="10"/>
      <c r="F18" s="15"/>
      <c r="G18" s="15"/>
      <c r="H18" s="10"/>
      <c r="I18" s="11"/>
      <c r="J18" s="11"/>
      <c r="K18" s="12"/>
      <c r="L18" s="13" t="str">
        <f t="shared" si="2"/>
        <v/>
      </c>
      <c r="M18" s="11" t="str">
        <f t="shared" si="6"/>
        <v/>
      </c>
    </row>
    <row r="19" spans="1:13">
      <c r="A19" s="9" t="s">
        <v>1</v>
      </c>
      <c r="B19" s="9" t="s">
        <v>11</v>
      </c>
      <c r="C19" s="11"/>
      <c r="D19" s="11"/>
      <c r="E19" s="12"/>
      <c r="F19" s="11"/>
      <c r="G19" s="11"/>
      <c r="H19" s="12"/>
      <c r="I19" s="11"/>
      <c r="J19" s="11"/>
      <c r="K19" s="12"/>
      <c r="L19" s="13" t="str">
        <f t="shared" si="2"/>
        <v/>
      </c>
      <c r="M19" s="11" t="str">
        <f t="shared" si="6"/>
        <v/>
      </c>
    </row>
    <row r="20" spans="1:13">
      <c r="A20" s="9" t="s">
        <v>1</v>
      </c>
      <c r="B20" s="9" t="s">
        <v>12</v>
      </c>
      <c r="C20" s="11"/>
      <c r="D20" s="11"/>
      <c r="E20" s="12"/>
      <c r="F20" s="11"/>
      <c r="G20" s="11"/>
      <c r="H20" s="12"/>
      <c r="I20" s="11"/>
      <c r="J20" s="11"/>
      <c r="K20" s="12"/>
      <c r="L20" s="13" t="str">
        <f t="shared" si="2"/>
        <v/>
      </c>
      <c r="M20" s="11" t="str">
        <f t="shared" si="6"/>
        <v/>
      </c>
    </row>
    <row r="21" spans="1:13">
      <c r="A21" s="9" t="s">
        <v>1</v>
      </c>
      <c r="B21" s="9" t="s">
        <v>13</v>
      </c>
      <c r="C21" s="11"/>
      <c r="D21" s="11"/>
      <c r="E21" s="12"/>
      <c r="F21" s="11"/>
      <c r="G21" s="11"/>
      <c r="H21" s="12"/>
      <c r="I21" s="11"/>
      <c r="J21" s="11"/>
      <c r="K21" s="12"/>
      <c r="L21" s="13" t="str">
        <f t="shared" si="2"/>
        <v/>
      </c>
      <c r="M21" s="11" t="str">
        <f t="shared" si="6"/>
        <v/>
      </c>
    </row>
    <row r="22" spans="1:13">
      <c r="A22" s="9" t="s">
        <v>1</v>
      </c>
      <c r="B22" s="9" t="s">
        <v>14</v>
      </c>
      <c r="C22" s="11"/>
      <c r="D22" s="11"/>
      <c r="E22" s="12"/>
      <c r="F22" s="11"/>
      <c r="G22" s="11"/>
      <c r="H22" s="12"/>
      <c r="I22" s="11"/>
      <c r="J22" s="11"/>
      <c r="K22" s="12"/>
      <c r="L22" s="13" t="str">
        <f t="shared" si="2"/>
        <v/>
      </c>
      <c r="M22" s="11" t="str">
        <f t="shared" si="6"/>
        <v/>
      </c>
    </row>
    <row r="23" spans="1:13">
      <c r="A23" s="9" t="s">
        <v>1</v>
      </c>
      <c r="B23" s="9" t="s">
        <v>15</v>
      </c>
      <c r="C23" s="11"/>
      <c r="D23" s="11"/>
      <c r="E23" s="12"/>
      <c r="F23" s="11"/>
      <c r="G23" s="11"/>
      <c r="H23" s="12"/>
      <c r="I23" s="11"/>
      <c r="J23" s="11"/>
      <c r="K23" s="12"/>
      <c r="L23" s="13" t="str">
        <f t="shared" si="2"/>
        <v/>
      </c>
      <c r="M23" s="11" t="str">
        <f t="shared" si="6"/>
        <v/>
      </c>
    </row>
    <row r="24" spans="1:13">
      <c r="A24" s="9" t="s">
        <v>1</v>
      </c>
      <c r="B24" s="9" t="s">
        <v>16</v>
      </c>
      <c r="C24" s="11"/>
      <c r="D24" s="11"/>
      <c r="E24" s="12"/>
      <c r="F24" s="11"/>
      <c r="G24" s="11"/>
      <c r="H24" s="12"/>
      <c r="I24" s="11"/>
      <c r="J24" s="11"/>
      <c r="K24" s="12"/>
      <c r="L24" s="13" t="str">
        <f t="shared" si="2"/>
        <v/>
      </c>
      <c r="M24" s="11" t="str">
        <f t="shared" si="6"/>
        <v/>
      </c>
    </row>
    <row r="25" spans="1:13">
      <c r="A25" s="9" t="s">
        <v>1</v>
      </c>
      <c r="B25" s="9" t="s">
        <v>17</v>
      </c>
      <c r="C25" s="11"/>
      <c r="D25" s="11"/>
      <c r="E25" s="12"/>
      <c r="F25" s="11"/>
      <c r="G25" s="11"/>
      <c r="H25" s="12"/>
      <c r="I25" s="11"/>
      <c r="J25" s="11"/>
      <c r="K25" s="12"/>
      <c r="L25" s="13" t="str">
        <f t="shared" si="2"/>
        <v/>
      </c>
      <c r="M25" s="11" t="str">
        <f t="shared" si="6"/>
        <v/>
      </c>
    </row>
    <row r="26" spans="1:13">
      <c r="A26" s="9" t="s">
        <v>1</v>
      </c>
      <c r="B26" s="9" t="s">
        <v>18</v>
      </c>
      <c r="C26" s="11"/>
      <c r="D26" s="11"/>
      <c r="E26" s="12"/>
      <c r="F26" s="11"/>
      <c r="G26" s="11"/>
      <c r="H26" s="12"/>
      <c r="I26" s="11"/>
      <c r="J26" s="11"/>
      <c r="K26" s="12"/>
      <c r="L26" s="13" t="str">
        <f t="shared" si="2"/>
        <v/>
      </c>
      <c r="M26" s="11" t="str">
        <f t="shared" si="6"/>
        <v/>
      </c>
    </row>
    <row r="27" spans="1:13">
      <c r="A27" s="9" t="s">
        <v>3</v>
      </c>
      <c r="B27" s="9" t="s">
        <v>7</v>
      </c>
      <c r="C27" s="15">
        <v>1</v>
      </c>
      <c r="D27" s="15">
        <v>17</v>
      </c>
      <c r="E27" s="10">
        <f t="shared" ref="E27:E28" si="7">SUM(C27:D27)</f>
        <v>18</v>
      </c>
      <c r="F27" s="15">
        <v>1</v>
      </c>
      <c r="G27" s="15">
        <v>17</v>
      </c>
      <c r="H27" s="10">
        <f>SUM(F27:G27)</f>
        <v>18</v>
      </c>
      <c r="I27" s="11">
        <v>1</v>
      </c>
      <c r="J27" s="16">
        <v>17.5</v>
      </c>
      <c r="K27" s="17">
        <f>J27+I27</f>
        <v>18.5</v>
      </c>
      <c r="L27" s="13">
        <f t="shared" si="2"/>
        <v>1.0277777777777777</v>
      </c>
      <c r="M27" s="11" t="str">
        <f t="shared" si="6"/>
        <v>Overload</v>
      </c>
    </row>
    <row r="28" spans="1:13">
      <c r="A28" s="9" t="s">
        <v>3</v>
      </c>
      <c r="B28" s="9" t="s">
        <v>8</v>
      </c>
      <c r="C28" s="15">
        <v>1</v>
      </c>
      <c r="D28" s="15">
        <v>17</v>
      </c>
      <c r="E28" s="10">
        <f t="shared" si="7"/>
        <v>18</v>
      </c>
      <c r="F28" s="15">
        <v>1</v>
      </c>
      <c r="G28" s="15">
        <v>17</v>
      </c>
      <c r="H28" s="10">
        <f t="shared" ref="H28" si="8">SUM(F28:G28)</f>
        <v>18</v>
      </c>
      <c r="I28" s="11">
        <v>1</v>
      </c>
      <c r="J28" s="11">
        <v>17.8</v>
      </c>
      <c r="K28" s="17">
        <f>J28+I28</f>
        <v>18.8</v>
      </c>
      <c r="L28" s="13">
        <f t="shared" si="2"/>
        <v>1.0444444444444445</v>
      </c>
      <c r="M28" s="11" t="str">
        <f t="shared" si="6"/>
        <v>Overload</v>
      </c>
    </row>
    <row r="29" spans="1:13">
      <c r="A29" s="9" t="s">
        <v>3</v>
      </c>
      <c r="B29" s="9" t="s">
        <v>9</v>
      </c>
      <c r="C29" s="15"/>
      <c r="D29" s="15"/>
      <c r="E29" s="10"/>
      <c r="F29" s="15"/>
      <c r="G29" s="15"/>
      <c r="H29" s="10"/>
      <c r="I29" s="11"/>
      <c r="J29" s="11"/>
      <c r="K29" s="12"/>
      <c r="L29" s="13" t="str">
        <f t="shared" si="2"/>
        <v/>
      </c>
      <c r="M29" s="11" t="str">
        <f t="shared" si="6"/>
        <v/>
      </c>
    </row>
    <row r="30" spans="1:13">
      <c r="A30" s="9" t="s">
        <v>3</v>
      </c>
      <c r="B30" s="9" t="s">
        <v>10</v>
      </c>
      <c r="C30" s="15"/>
      <c r="D30" s="15"/>
      <c r="E30" s="10"/>
      <c r="F30" s="15"/>
      <c r="G30" s="15"/>
      <c r="H30" s="10"/>
      <c r="I30" s="11"/>
      <c r="J30" s="11"/>
      <c r="K30" s="12"/>
      <c r="L30" s="13" t="str">
        <f t="shared" si="2"/>
        <v/>
      </c>
      <c r="M30" s="11" t="str">
        <f t="shared" si="6"/>
        <v/>
      </c>
    </row>
    <row r="31" spans="1:13">
      <c r="A31" s="9" t="s">
        <v>3</v>
      </c>
      <c r="B31" s="9" t="s">
        <v>11</v>
      </c>
      <c r="C31" s="11"/>
      <c r="D31" s="11"/>
      <c r="E31" s="12"/>
      <c r="F31" s="11"/>
      <c r="G31" s="11"/>
      <c r="H31" s="12"/>
      <c r="I31" s="11"/>
      <c r="J31" s="11"/>
      <c r="K31" s="12"/>
      <c r="L31" s="13" t="str">
        <f t="shared" si="2"/>
        <v/>
      </c>
      <c r="M31" s="11" t="str">
        <f t="shared" si="6"/>
        <v/>
      </c>
    </row>
    <row r="32" spans="1:13">
      <c r="A32" s="9" t="s">
        <v>3</v>
      </c>
      <c r="B32" s="9" t="s">
        <v>12</v>
      </c>
      <c r="C32" s="11"/>
      <c r="D32" s="11"/>
      <c r="E32" s="12"/>
      <c r="F32" s="11"/>
      <c r="G32" s="11"/>
      <c r="H32" s="12"/>
      <c r="I32" s="11"/>
      <c r="J32" s="11"/>
      <c r="K32" s="12"/>
      <c r="L32" s="13" t="str">
        <f t="shared" si="2"/>
        <v/>
      </c>
      <c r="M32" s="11" t="str">
        <f t="shared" si="6"/>
        <v/>
      </c>
    </row>
    <row r="33" spans="1:13">
      <c r="A33" s="9" t="s">
        <v>3</v>
      </c>
      <c r="B33" s="9" t="s">
        <v>13</v>
      </c>
      <c r="C33" s="11"/>
      <c r="D33" s="11"/>
      <c r="E33" s="12"/>
      <c r="F33" s="11"/>
      <c r="G33" s="11"/>
      <c r="H33" s="12"/>
      <c r="I33" s="11"/>
      <c r="J33" s="11"/>
      <c r="K33" s="12"/>
      <c r="L33" s="13" t="str">
        <f t="shared" si="2"/>
        <v/>
      </c>
      <c r="M33" s="11" t="str">
        <f t="shared" si="6"/>
        <v/>
      </c>
    </row>
    <row r="34" spans="1:13">
      <c r="A34" s="9" t="s">
        <v>3</v>
      </c>
      <c r="B34" s="9" t="s">
        <v>14</v>
      </c>
      <c r="C34" s="11"/>
      <c r="D34" s="11"/>
      <c r="E34" s="12"/>
      <c r="F34" s="11"/>
      <c r="G34" s="11"/>
      <c r="H34" s="12"/>
      <c r="I34" s="11"/>
      <c r="J34" s="11"/>
      <c r="K34" s="12"/>
      <c r="L34" s="13" t="str">
        <f t="shared" si="2"/>
        <v/>
      </c>
      <c r="M34" s="11" t="str">
        <f t="shared" si="6"/>
        <v/>
      </c>
    </row>
    <row r="35" spans="1:13">
      <c r="A35" s="9" t="s">
        <v>3</v>
      </c>
      <c r="B35" s="9" t="s">
        <v>15</v>
      </c>
      <c r="C35" s="11"/>
      <c r="D35" s="11"/>
      <c r="E35" s="12"/>
      <c r="F35" s="11"/>
      <c r="G35" s="11"/>
      <c r="H35" s="12"/>
      <c r="I35" s="11"/>
      <c r="J35" s="11"/>
      <c r="K35" s="12"/>
      <c r="L35" s="13" t="str">
        <f t="shared" si="2"/>
        <v/>
      </c>
      <c r="M35" s="11" t="str">
        <f t="shared" si="6"/>
        <v/>
      </c>
    </row>
    <row r="36" spans="1:13">
      <c r="A36" s="9" t="s">
        <v>3</v>
      </c>
      <c r="B36" s="9" t="s">
        <v>16</v>
      </c>
      <c r="C36" s="11"/>
      <c r="D36" s="11"/>
      <c r="E36" s="12"/>
      <c r="F36" s="11"/>
      <c r="G36" s="11"/>
      <c r="H36" s="12"/>
      <c r="I36" s="11"/>
      <c r="J36" s="11"/>
      <c r="K36" s="12"/>
      <c r="L36" s="13" t="str">
        <f t="shared" si="2"/>
        <v/>
      </c>
      <c r="M36" s="11" t="str">
        <f t="shared" si="6"/>
        <v/>
      </c>
    </row>
    <row r="37" spans="1:13">
      <c r="A37" s="9" t="s">
        <v>3</v>
      </c>
      <c r="B37" s="9" t="s">
        <v>17</v>
      </c>
      <c r="C37" s="11"/>
      <c r="D37" s="11"/>
      <c r="E37" s="12"/>
      <c r="F37" s="11"/>
      <c r="G37" s="11"/>
      <c r="H37" s="12"/>
      <c r="I37" s="11"/>
      <c r="J37" s="11"/>
      <c r="K37" s="12"/>
      <c r="L37" s="13" t="str">
        <f t="shared" si="2"/>
        <v/>
      </c>
      <c r="M37" s="11" t="str">
        <f t="shared" si="6"/>
        <v/>
      </c>
    </row>
    <row r="38" spans="1:13">
      <c r="A38" s="9" t="s">
        <v>3</v>
      </c>
      <c r="B38" s="9" t="s">
        <v>18</v>
      </c>
      <c r="C38" s="11"/>
      <c r="D38" s="11"/>
      <c r="E38" s="12"/>
      <c r="F38" s="11"/>
      <c r="G38" s="11"/>
      <c r="H38" s="12"/>
      <c r="I38" s="11"/>
      <c r="J38" s="11"/>
      <c r="K38" s="12"/>
      <c r="L38" s="13" t="str">
        <f t="shared" si="2"/>
        <v/>
      </c>
      <c r="M38" s="11" t="str">
        <f t="shared" si="6"/>
        <v/>
      </c>
    </row>
    <row r="39" spans="1:13">
      <c r="A39" s="9" t="s">
        <v>4</v>
      </c>
      <c r="B39" s="9" t="s">
        <v>7</v>
      </c>
      <c r="C39" s="15"/>
      <c r="D39" s="15"/>
      <c r="E39" s="12"/>
      <c r="F39" s="11"/>
      <c r="G39" s="11"/>
      <c r="H39" s="12"/>
      <c r="I39" s="11"/>
      <c r="J39" s="11"/>
      <c r="K39" s="12"/>
      <c r="L39" s="13" t="str">
        <f t="shared" si="2"/>
        <v/>
      </c>
      <c r="M39" s="11" t="str">
        <f t="shared" si="6"/>
        <v/>
      </c>
    </row>
    <row r="40" spans="1:13">
      <c r="A40" s="9" t="s">
        <v>4</v>
      </c>
      <c r="B40" s="9" t="s">
        <v>8</v>
      </c>
      <c r="C40" s="11"/>
      <c r="D40" s="11"/>
      <c r="E40" s="12"/>
      <c r="F40" s="11"/>
      <c r="G40" s="11"/>
      <c r="H40" s="12"/>
      <c r="I40" s="11"/>
      <c r="J40" s="11"/>
      <c r="K40" s="12"/>
      <c r="L40" s="13" t="str">
        <f t="shared" si="2"/>
        <v/>
      </c>
      <c r="M40" s="11" t="str">
        <f t="shared" si="6"/>
        <v/>
      </c>
    </row>
    <row r="41" spans="1:13">
      <c r="A41" s="9" t="s">
        <v>4</v>
      </c>
      <c r="B41" s="9" t="s">
        <v>9</v>
      </c>
      <c r="C41" s="11"/>
      <c r="D41" s="11"/>
      <c r="E41" s="12"/>
      <c r="F41" s="11"/>
      <c r="G41" s="11"/>
      <c r="H41" s="12"/>
      <c r="I41" s="11"/>
      <c r="J41" s="11"/>
      <c r="K41" s="12"/>
      <c r="L41" s="13" t="str">
        <f t="shared" si="2"/>
        <v/>
      </c>
      <c r="M41" s="11" t="str">
        <f t="shared" si="6"/>
        <v/>
      </c>
    </row>
    <row r="42" spans="1:13">
      <c r="A42" s="9" t="s">
        <v>4</v>
      </c>
      <c r="B42" s="9" t="s">
        <v>10</v>
      </c>
      <c r="C42" s="11"/>
      <c r="D42" s="11"/>
      <c r="E42" s="12"/>
      <c r="F42" s="11"/>
      <c r="G42" s="11"/>
      <c r="H42" s="12"/>
      <c r="I42" s="11"/>
      <c r="J42" s="11"/>
      <c r="K42" s="12"/>
      <c r="L42" s="13" t="str">
        <f t="shared" si="2"/>
        <v/>
      </c>
      <c r="M42" s="11" t="str">
        <f t="shared" si="6"/>
        <v/>
      </c>
    </row>
    <row r="43" spans="1:13">
      <c r="A43" s="9" t="s">
        <v>4</v>
      </c>
      <c r="B43" s="9" t="s">
        <v>11</v>
      </c>
      <c r="C43" s="11"/>
      <c r="D43" s="11"/>
      <c r="E43" s="12"/>
      <c r="F43" s="11"/>
      <c r="G43" s="11"/>
      <c r="H43" s="12"/>
      <c r="I43" s="11"/>
      <c r="J43" s="11"/>
      <c r="K43" s="12"/>
      <c r="L43" s="13" t="str">
        <f t="shared" si="2"/>
        <v/>
      </c>
      <c r="M43" s="11" t="str">
        <f t="shared" si="6"/>
        <v/>
      </c>
    </row>
    <row r="44" spans="1:13">
      <c r="A44" s="9" t="s">
        <v>4</v>
      </c>
      <c r="B44" s="9" t="s">
        <v>12</v>
      </c>
      <c r="C44" s="11"/>
      <c r="D44" s="11"/>
      <c r="E44" s="12"/>
      <c r="F44" s="11"/>
      <c r="G44" s="11"/>
      <c r="H44" s="12"/>
      <c r="I44" s="11"/>
      <c r="J44" s="11"/>
      <c r="K44" s="12"/>
      <c r="L44" s="13" t="str">
        <f t="shared" si="2"/>
        <v/>
      </c>
      <c r="M44" s="11" t="str">
        <f t="shared" si="6"/>
        <v/>
      </c>
    </row>
    <row r="45" spans="1:13">
      <c r="A45" s="9" t="s">
        <v>4</v>
      </c>
      <c r="B45" s="9" t="s">
        <v>13</v>
      </c>
      <c r="C45" s="11"/>
      <c r="D45" s="11"/>
      <c r="E45" s="12"/>
      <c r="F45" s="11"/>
      <c r="G45" s="11"/>
      <c r="H45" s="12"/>
      <c r="I45" s="11"/>
      <c r="J45" s="11"/>
      <c r="K45" s="12"/>
      <c r="L45" s="13" t="str">
        <f t="shared" si="2"/>
        <v/>
      </c>
      <c r="M45" s="11" t="str">
        <f t="shared" si="6"/>
        <v/>
      </c>
    </row>
    <row r="46" spans="1:13">
      <c r="A46" s="9" t="s">
        <v>4</v>
      </c>
      <c r="B46" s="9" t="s">
        <v>14</v>
      </c>
      <c r="C46" s="11"/>
      <c r="D46" s="11"/>
      <c r="E46" s="12"/>
      <c r="F46" s="11"/>
      <c r="G46" s="11"/>
      <c r="H46" s="12"/>
      <c r="I46" s="11"/>
      <c r="J46" s="11"/>
      <c r="K46" s="12"/>
      <c r="L46" s="13" t="str">
        <f t="shared" si="2"/>
        <v/>
      </c>
      <c r="M46" s="11" t="str">
        <f t="shared" si="6"/>
        <v/>
      </c>
    </row>
    <row r="47" spans="1:13">
      <c r="A47" s="9" t="s">
        <v>4</v>
      </c>
      <c r="B47" s="9" t="s">
        <v>15</v>
      </c>
      <c r="C47" s="11"/>
      <c r="D47" s="11"/>
      <c r="E47" s="12"/>
      <c r="F47" s="11"/>
      <c r="G47" s="11"/>
      <c r="H47" s="12"/>
      <c r="I47" s="11"/>
      <c r="J47" s="11"/>
      <c r="K47" s="12"/>
      <c r="L47" s="13" t="str">
        <f t="shared" si="2"/>
        <v/>
      </c>
      <c r="M47" s="11" t="str">
        <f t="shared" si="6"/>
        <v/>
      </c>
    </row>
    <row r="48" spans="1:13">
      <c r="A48" s="9" t="s">
        <v>4</v>
      </c>
      <c r="B48" s="9" t="s">
        <v>16</v>
      </c>
      <c r="C48" s="11"/>
      <c r="D48" s="11"/>
      <c r="E48" s="12"/>
      <c r="F48" s="11"/>
      <c r="G48" s="11"/>
      <c r="H48" s="12"/>
      <c r="I48" s="11"/>
      <c r="J48" s="11"/>
      <c r="K48" s="12"/>
      <c r="L48" s="13" t="str">
        <f t="shared" si="2"/>
        <v/>
      </c>
      <c r="M48" s="11" t="str">
        <f t="shared" si="6"/>
        <v/>
      </c>
    </row>
    <row r="49" spans="1:13">
      <c r="A49" s="9" t="s">
        <v>4</v>
      </c>
      <c r="B49" s="9" t="s">
        <v>17</v>
      </c>
      <c r="C49" s="11"/>
      <c r="D49" s="11"/>
      <c r="E49" s="12"/>
      <c r="F49" s="11"/>
      <c r="G49" s="11"/>
      <c r="H49" s="12"/>
      <c r="I49" s="11"/>
      <c r="J49" s="11"/>
      <c r="K49" s="12"/>
      <c r="L49" s="13" t="str">
        <f t="shared" si="2"/>
        <v/>
      </c>
      <c r="M49" s="11" t="str">
        <f t="shared" si="6"/>
        <v/>
      </c>
    </row>
    <row r="50" spans="1:13">
      <c r="A50" s="9" t="s">
        <v>4</v>
      </c>
      <c r="B50" s="9" t="s">
        <v>18</v>
      </c>
      <c r="C50" s="11"/>
      <c r="D50" s="11"/>
      <c r="E50" s="12"/>
      <c r="F50" s="11"/>
      <c r="G50" s="11"/>
      <c r="H50" s="12"/>
      <c r="I50" s="11"/>
      <c r="J50" s="11"/>
      <c r="K50" s="12"/>
      <c r="L50" s="13" t="str">
        <f t="shared" si="2"/>
        <v/>
      </c>
      <c r="M50" s="11" t="str">
        <f>IF(L50="","",IF(L50&gt;100%,"Overload",IF(L50&gt;95%,"High Load",IF(L50&gt;=90%,"Balanced","Low Load"))))</f>
        <v/>
      </c>
    </row>
  </sheetData>
  <phoneticPr fontId="3" type="noConversion"/>
  <conditionalFormatting sqref="M3:M707">
    <cfRule type="expression" dxfId="10" priority="1">
      <formula>$M3="Low Load"</formula>
    </cfRule>
    <cfRule type="expression" dxfId="9" priority="2">
      <formula>$M3="Balanced"</formula>
    </cfRule>
    <cfRule type="expression" dxfId="8" priority="3">
      <formula>$M3="High Load"</formula>
    </cfRule>
    <cfRule type="expression" dxfId="7" priority="4">
      <formula>$M3="Overload"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6D61-EE10-43A8-AADB-BC76383CE52B}">
  <dimension ref="A1:O51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G11" sqref="G11"/>
    </sheetView>
  </sheetViews>
  <sheetFormatPr defaultRowHeight="16"/>
  <cols>
    <col min="1" max="2" width="8.7265625" style="19"/>
    <col min="3" max="6" width="10.1796875" style="19" customWidth="1"/>
    <col min="7" max="7" width="10.54296875" style="19" customWidth="1"/>
    <col min="8" max="8" width="10.1796875" style="19" customWidth="1"/>
    <col min="9" max="9" width="12.08984375" style="19" customWidth="1"/>
    <col min="10" max="12" width="10.1796875" style="19" customWidth="1"/>
    <col min="13" max="13" width="11.453125" style="30" customWidth="1"/>
    <col min="14" max="14" width="10.6328125" style="19" bestFit="1" customWidth="1"/>
    <col min="15" max="16384" width="8.7265625" style="19"/>
  </cols>
  <sheetData>
    <row r="1" spans="1:15">
      <c r="A1" s="18" t="s">
        <v>285</v>
      </c>
      <c r="D1" s="97"/>
      <c r="E1" s="97"/>
    </row>
    <row r="2" spans="1:15" s="33" customFormat="1" ht="52" customHeight="1">
      <c r="A2" s="31" t="s">
        <v>5</v>
      </c>
      <c r="B2" s="31" t="s">
        <v>6</v>
      </c>
      <c r="C2" s="31" t="s">
        <v>44</v>
      </c>
      <c r="D2" s="31" t="s">
        <v>277</v>
      </c>
      <c r="E2" s="31" t="s">
        <v>281</v>
      </c>
      <c r="F2" s="31" t="s">
        <v>278</v>
      </c>
      <c r="G2" s="31" t="s">
        <v>282</v>
      </c>
      <c r="H2" s="31" t="s">
        <v>279</v>
      </c>
      <c r="I2" s="31" t="s">
        <v>283</v>
      </c>
      <c r="J2" s="31" t="s">
        <v>280</v>
      </c>
      <c r="K2" s="31" t="s">
        <v>284</v>
      </c>
      <c r="L2" s="31" t="s">
        <v>298</v>
      </c>
      <c r="M2" s="32" t="s">
        <v>310</v>
      </c>
    </row>
    <row r="3" spans="1:15">
      <c r="A3" s="34" t="s">
        <v>2</v>
      </c>
      <c r="B3" s="35" t="s">
        <v>7</v>
      </c>
      <c r="C3" s="36" t="s">
        <v>21</v>
      </c>
      <c r="D3" s="37">
        <v>288</v>
      </c>
      <c r="E3" s="37">
        <v>6912</v>
      </c>
      <c r="F3" s="37"/>
      <c r="G3" s="37"/>
      <c r="H3" s="37">
        <v>86</v>
      </c>
      <c r="I3" s="37">
        <v>860</v>
      </c>
      <c r="J3" s="37">
        <v>25</v>
      </c>
      <c r="K3" s="37">
        <v>0</v>
      </c>
      <c r="L3" s="38">
        <f>(E3+G3+I3+K3)</f>
        <v>7772</v>
      </c>
      <c r="M3" s="76">
        <f>IF(L3="","",IFERROR(L3/SUMIFS($L:$L,$A:$A,A3,$B:$B,B3),""))</f>
        <v>8.1037682731007449E-2</v>
      </c>
      <c r="N3" s="81"/>
    </row>
    <row r="4" spans="1:15">
      <c r="A4" s="34" t="s">
        <v>2</v>
      </c>
      <c r="B4" s="35" t="s">
        <v>7</v>
      </c>
      <c r="C4" s="36" t="s">
        <v>20</v>
      </c>
      <c r="D4" s="37">
        <v>287</v>
      </c>
      <c r="E4" s="37">
        <v>4879</v>
      </c>
      <c r="F4" s="37"/>
      <c r="G4" s="37"/>
      <c r="H4" s="37">
        <v>380</v>
      </c>
      <c r="I4" s="37">
        <v>725</v>
      </c>
      <c r="J4" s="37">
        <v>2</v>
      </c>
      <c r="K4" s="37">
        <v>245</v>
      </c>
      <c r="L4" s="38">
        <f t="shared" ref="L4:L44" si="0">(E4+G4+I4+K4)</f>
        <v>5849</v>
      </c>
      <c r="M4" s="76">
        <f t="shared" ref="M4:M19" si="1">IF(L4="","",IFERROR(L4/SUMIFS($L:$L,$A:$A,A4,$B:$B,B4),""))</f>
        <v>6.0986799574583445E-2</v>
      </c>
    </row>
    <row r="5" spans="1:15">
      <c r="A5" s="34" t="s">
        <v>2</v>
      </c>
      <c r="B5" s="35" t="s">
        <v>7</v>
      </c>
      <c r="C5" s="36" t="s">
        <v>36</v>
      </c>
      <c r="D5" s="37">
        <v>226</v>
      </c>
      <c r="E5" s="37">
        <v>5876</v>
      </c>
      <c r="F5" s="37"/>
      <c r="G5" s="37"/>
      <c r="H5" s="37">
        <v>0</v>
      </c>
      <c r="I5" s="37">
        <v>900</v>
      </c>
      <c r="J5" s="37">
        <v>0</v>
      </c>
      <c r="K5" s="37">
        <v>0</v>
      </c>
      <c r="L5" s="38">
        <f t="shared" si="0"/>
        <v>6776</v>
      </c>
      <c r="M5" s="76">
        <f t="shared" si="1"/>
        <v>7.0652513919879881E-2</v>
      </c>
    </row>
    <row r="6" spans="1:15">
      <c r="A6" s="34" t="s">
        <v>2</v>
      </c>
      <c r="B6" s="35" t="s">
        <v>7</v>
      </c>
      <c r="C6" s="36" t="s">
        <v>37</v>
      </c>
      <c r="D6" s="37">
        <v>132</v>
      </c>
      <c r="E6" s="37">
        <v>2376</v>
      </c>
      <c r="F6" s="37"/>
      <c r="G6" s="37"/>
      <c r="H6" s="37">
        <v>1</v>
      </c>
      <c r="I6" s="37">
        <v>5</v>
      </c>
      <c r="J6" s="37">
        <v>51</v>
      </c>
      <c r="K6" s="37">
        <v>235</v>
      </c>
      <c r="L6" s="38">
        <f t="shared" si="0"/>
        <v>2616</v>
      </c>
      <c r="M6" s="76">
        <f t="shared" si="1"/>
        <v>2.727670844368444E-2</v>
      </c>
    </row>
    <row r="7" spans="1:15">
      <c r="A7" s="34" t="s">
        <v>2</v>
      </c>
      <c r="B7" s="35" t="s">
        <v>7</v>
      </c>
      <c r="C7" s="39" t="s">
        <v>38</v>
      </c>
      <c r="D7" s="37">
        <v>1687</v>
      </c>
      <c r="E7" s="37">
        <v>28679</v>
      </c>
      <c r="F7" s="37">
        <v>66</v>
      </c>
      <c r="G7" s="37">
        <v>660</v>
      </c>
      <c r="H7" s="37">
        <v>1310</v>
      </c>
      <c r="I7" s="83">
        <v>-5075</v>
      </c>
      <c r="J7" s="37">
        <v>10</v>
      </c>
      <c r="K7" s="37">
        <v>120</v>
      </c>
      <c r="L7" s="38">
        <f t="shared" si="0"/>
        <v>24384</v>
      </c>
      <c r="M7" s="76">
        <f t="shared" si="1"/>
        <v>0.25424895209893023</v>
      </c>
    </row>
    <row r="8" spans="1:15">
      <c r="A8" s="34" t="s">
        <v>2</v>
      </c>
      <c r="B8" s="35" t="s">
        <v>7</v>
      </c>
      <c r="C8" s="39" t="s">
        <v>39</v>
      </c>
      <c r="D8" s="37">
        <v>1496</v>
      </c>
      <c r="E8" s="37">
        <v>40392</v>
      </c>
      <c r="F8" s="37"/>
      <c r="G8" s="37"/>
      <c r="H8" s="37">
        <v>72</v>
      </c>
      <c r="I8" s="37">
        <v>3150</v>
      </c>
      <c r="J8" s="37">
        <v>65</v>
      </c>
      <c r="K8" s="37">
        <v>2835</v>
      </c>
      <c r="L8" s="38">
        <f t="shared" si="0"/>
        <v>46377</v>
      </c>
      <c r="M8" s="76">
        <f t="shared" si="1"/>
        <v>0.4835672429253644</v>
      </c>
    </row>
    <row r="9" spans="1:15">
      <c r="A9" s="34" t="s">
        <v>2</v>
      </c>
      <c r="B9" s="35" t="s">
        <v>7</v>
      </c>
      <c r="C9" s="39" t="s">
        <v>40</v>
      </c>
      <c r="D9" s="37">
        <v>164</v>
      </c>
      <c r="E9" s="37">
        <v>2132</v>
      </c>
      <c r="F9" s="37"/>
      <c r="G9" s="37"/>
      <c r="H9" s="37"/>
      <c r="I9" s="37"/>
      <c r="J9" s="37">
        <v>0</v>
      </c>
      <c r="K9" s="37">
        <v>0</v>
      </c>
      <c r="L9" s="38">
        <f t="shared" si="0"/>
        <v>2132</v>
      </c>
      <c r="M9" s="76">
        <f t="shared" si="1"/>
        <v>2.2230100306550163E-2</v>
      </c>
    </row>
    <row r="10" spans="1:15">
      <c r="A10" s="34" t="s">
        <v>2</v>
      </c>
      <c r="B10" s="35" t="s">
        <v>8</v>
      </c>
      <c r="C10" s="36" t="s">
        <v>21</v>
      </c>
      <c r="D10" s="37">
        <v>271</v>
      </c>
      <c r="E10" s="37">
        <v>6504</v>
      </c>
      <c r="F10" s="37"/>
      <c r="G10" s="37"/>
      <c r="H10" s="37">
        <v>102</v>
      </c>
      <c r="I10" s="37">
        <v>1020</v>
      </c>
      <c r="J10" s="37">
        <v>23</v>
      </c>
      <c r="K10" s="37">
        <v>0</v>
      </c>
      <c r="L10" s="38">
        <f t="shared" si="0"/>
        <v>7524</v>
      </c>
      <c r="M10" s="76">
        <f t="shared" si="1"/>
        <v>7.9965140130299386E-2</v>
      </c>
    </row>
    <row r="11" spans="1:15">
      <c r="A11" s="34" t="s">
        <v>2</v>
      </c>
      <c r="B11" s="35" t="s">
        <v>8</v>
      </c>
      <c r="C11" s="36" t="s">
        <v>20</v>
      </c>
      <c r="D11" s="37">
        <v>211</v>
      </c>
      <c r="E11" s="37">
        <v>3587</v>
      </c>
      <c r="F11" s="37"/>
      <c r="G11" s="37"/>
      <c r="H11" s="37">
        <v>399</v>
      </c>
      <c r="I11" s="37">
        <v>835</v>
      </c>
      <c r="J11" s="37">
        <v>4</v>
      </c>
      <c r="K11" s="37">
        <v>310</v>
      </c>
      <c r="L11" s="38">
        <f t="shared" si="0"/>
        <v>4732</v>
      </c>
      <c r="M11" s="76">
        <f t="shared" si="1"/>
        <v>5.0291738848561501E-2</v>
      </c>
    </row>
    <row r="12" spans="1:15">
      <c r="A12" s="34" t="s">
        <v>2</v>
      </c>
      <c r="B12" s="35" t="s">
        <v>8</v>
      </c>
      <c r="C12" s="36" t="s">
        <v>36</v>
      </c>
      <c r="D12" s="37">
        <v>196</v>
      </c>
      <c r="E12" s="37">
        <v>5096</v>
      </c>
      <c r="F12" s="37"/>
      <c r="G12" s="37"/>
      <c r="H12" s="37">
        <v>0</v>
      </c>
      <c r="I12" s="37">
        <v>1920</v>
      </c>
      <c r="J12" s="37">
        <v>0</v>
      </c>
      <c r="K12" s="37">
        <v>0</v>
      </c>
      <c r="L12" s="38">
        <f t="shared" si="0"/>
        <v>7016</v>
      </c>
      <c r="M12" s="76">
        <f t="shared" si="1"/>
        <v>7.4566111530327023E-2</v>
      </c>
    </row>
    <row r="13" spans="1:15">
      <c r="A13" s="34" t="s">
        <v>2</v>
      </c>
      <c r="B13" s="35" t="s">
        <v>8</v>
      </c>
      <c r="C13" s="36" t="s">
        <v>37</v>
      </c>
      <c r="D13" s="37">
        <v>126</v>
      </c>
      <c r="E13" s="37">
        <v>2268</v>
      </c>
      <c r="F13" s="37"/>
      <c r="G13" s="37"/>
      <c r="H13" s="37">
        <v>3</v>
      </c>
      <c r="I13" s="37">
        <v>15</v>
      </c>
      <c r="J13" s="37">
        <v>53</v>
      </c>
      <c r="K13" s="37">
        <v>265</v>
      </c>
      <c r="L13" s="38">
        <f t="shared" si="0"/>
        <v>2548</v>
      </c>
      <c r="M13" s="76">
        <f t="shared" si="1"/>
        <v>2.7080167072302347E-2</v>
      </c>
    </row>
    <row r="14" spans="1:15">
      <c r="A14" s="34" t="s">
        <v>2</v>
      </c>
      <c r="B14" s="35" t="s">
        <v>8</v>
      </c>
      <c r="C14" s="39" t="s">
        <v>38</v>
      </c>
      <c r="D14" s="37">
        <v>1795</v>
      </c>
      <c r="E14" s="37">
        <v>30515</v>
      </c>
      <c r="F14" s="37">
        <v>51</v>
      </c>
      <c r="G14" s="37">
        <v>510</v>
      </c>
      <c r="H14" s="37">
        <v>1351</v>
      </c>
      <c r="I14" s="83">
        <v>-5240</v>
      </c>
      <c r="J14" s="37">
        <v>12</v>
      </c>
      <c r="K14" s="37">
        <v>160</v>
      </c>
      <c r="L14" s="38">
        <f t="shared" si="0"/>
        <v>25945</v>
      </c>
      <c r="M14" s="76">
        <f t="shared" si="1"/>
        <v>0.2757436949336281</v>
      </c>
    </row>
    <row r="15" spans="1:15">
      <c r="A15" s="34" t="s">
        <v>2</v>
      </c>
      <c r="B15" s="35" t="s">
        <v>8</v>
      </c>
      <c r="C15" s="39" t="s">
        <v>39</v>
      </c>
      <c r="D15" s="37">
        <v>1406</v>
      </c>
      <c r="E15" s="37">
        <v>37986</v>
      </c>
      <c r="F15" s="37"/>
      <c r="G15" s="37"/>
      <c r="H15" s="37">
        <v>86</v>
      </c>
      <c r="I15" s="37">
        <v>3230</v>
      </c>
      <c r="J15" s="37">
        <v>72</v>
      </c>
      <c r="K15" s="37">
        <v>2835</v>
      </c>
      <c r="L15" s="38">
        <f t="shared" si="0"/>
        <v>44051</v>
      </c>
      <c r="M15" s="76">
        <f t="shared" si="1"/>
        <v>0.46817442688461169</v>
      </c>
    </row>
    <row r="16" spans="1:15">
      <c r="A16" s="34" t="s">
        <v>2</v>
      </c>
      <c r="B16" s="35" t="s">
        <v>8</v>
      </c>
      <c r="C16" s="39" t="s">
        <v>40</v>
      </c>
      <c r="D16" s="37">
        <v>175</v>
      </c>
      <c r="E16" s="37">
        <v>2275</v>
      </c>
      <c r="F16" s="37"/>
      <c r="G16" s="37"/>
      <c r="H16" s="37"/>
      <c r="I16" s="37"/>
      <c r="J16" s="37">
        <v>0</v>
      </c>
      <c r="K16" s="37">
        <v>0</v>
      </c>
      <c r="L16" s="38">
        <f t="shared" si="0"/>
        <v>2275</v>
      </c>
      <c r="M16" s="76">
        <f t="shared" si="1"/>
        <v>2.4178720600269953E-2</v>
      </c>
      <c r="N16" s="81"/>
      <c r="O16" s="96"/>
    </row>
    <row r="17" spans="1:15">
      <c r="A17" s="34" t="s">
        <v>1</v>
      </c>
      <c r="B17" s="34" t="s">
        <v>7</v>
      </c>
      <c r="C17" s="77" t="s">
        <v>21</v>
      </c>
      <c r="D17" s="78"/>
      <c r="E17" s="78"/>
      <c r="F17" s="78"/>
      <c r="G17" s="78"/>
      <c r="H17" s="78"/>
      <c r="I17" s="78"/>
      <c r="J17" s="78"/>
      <c r="K17" s="78"/>
      <c r="L17" s="38">
        <f t="shared" si="0"/>
        <v>0</v>
      </c>
      <c r="M17" s="79" t="str">
        <f t="shared" si="1"/>
        <v/>
      </c>
      <c r="O17" s="96"/>
    </row>
    <row r="18" spans="1:15">
      <c r="A18" s="34" t="s">
        <v>1</v>
      </c>
      <c r="B18" s="34" t="s">
        <v>7</v>
      </c>
      <c r="C18" s="77" t="s">
        <v>20</v>
      </c>
      <c r="D18" s="78"/>
      <c r="E18" s="78"/>
      <c r="F18" s="78"/>
      <c r="G18" s="78"/>
      <c r="H18" s="78"/>
      <c r="I18" s="78"/>
      <c r="J18" s="78"/>
      <c r="K18" s="78"/>
      <c r="L18" s="38">
        <f t="shared" si="0"/>
        <v>0</v>
      </c>
      <c r="M18" s="79" t="str">
        <f t="shared" si="1"/>
        <v/>
      </c>
      <c r="O18" s="96"/>
    </row>
    <row r="19" spans="1:15">
      <c r="A19" s="34" t="s">
        <v>1</v>
      </c>
      <c r="B19" s="34" t="s">
        <v>7</v>
      </c>
      <c r="C19" s="77" t="s">
        <v>36</v>
      </c>
      <c r="D19" s="78"/>
      <c r="E19" s="78"/>
      <c r="F19" s="78"/>
      <c r="G19" s="78"/>
      <c r="H19" s="78"/>
      <c r="I19" s="78"/>
      <c r="J19" s="78"/>
      <c r="K19" s="78"/>
      <c r="L19" s="38">
        <f t="shared" si="0"/>
        <v>0</v>
      </c>
      <c r="M19" s="79" t="str">
        <f t="shared" si="1"/>
        <v/>
      </c>
    </row>
    <row r="20" spans="1:15">
      <c r="A20" s="34" t="s">
        <v>1</v>
      </c>
      <c r="B20" s="34" t="s">
        <v>7</v>
      </c>
      <c r="C20" s="77" t="s">
        <v>37</v>
      </c>
      <c r="D20" s="78"/>
      <c r="E20" s="78"/>
      <c r="F20" s="78"/>
      <c r="G20" s="78"/>
      <c r="H20" s="78"/>
      <c r="I20" s="78"/>
      <c r="J20" s="78"/>
      <c r="K20" s="78"/>
      <c r="L20" s="38">
        <f t="shared" si="0"/>
        <v>0</v>
      </c>
      <c r="M20" s="79" t="str">
        <f t="shared" ref="M20:M44" si="2">IF(L20="","",IFERROR(L20/SUMIFS($L:$L,$A:$A,A20,$B:$B,B20),""))</f>
        <v/>
      </c>
    </row>
    <row r="21" spans="1:15">
      <c r="A21" s="34" t="s">
        <v>1</v>
      </c>
      <c r="B21" s="34" t="s">
        <v>7</v>
      </c>
      <c r="C21" s="78" t="s">
        <v>38</v>
      </c>
      <c r="D21" s="78"/>
      <c r="E21" s="78"/>
      <c r="F21" s="78"/>
      <c r="G21" s="78"/>
      <c r="H21" s="78"/>
      <c r="I21" s="78"/>
      <c r="J21" s="78"/>
      <c r="K21" s="78"/>
      <c r="L21" s="38">
        <f t="shared" si="0"/>
        <v>0</v>
      </c>
      <c r="M21" s="79" t="str">
        <f t="shared" si="2"/>
        <v/>
      </c>
    </row>
    <row r="22" spans="1:15">
      <c r="A22" s="34" t="s">
        <v>1</v>
      </c>
      <c r="B22" s="34" t="s">
        <v>7</v>
      </c>
      <c r="C22" s="78" t="s">
        <v>39</v>
      </c>
      <c r="D22" s="78"/>
      <c r="E22" s="78"/>
      <c r="F22" s="78"/>
      <c r="G22" s="78"/>
      <c r="H22" s="78"/>
      <c r="I22" s="78"/>
      <c r="J22" s="78"/>
      <c r="K22" s="78"/>
      <c r="L22" s="38">
        <f t="shared" si="0"/>
        <v>0</v>
      </c>
      <c r="M22" s="79" t="str">
        <f t="shared" si="2"/>
        <v/>
      </c>
    </row>
    <row r="23" spans="1:15">
      <c r="A23" s="34" t="s">
        <v>1</v>
      </c>
      <c r="B23" s="34" t="s">
        <v>7</v>
      </c>
      <c r="C23" s="78" t="s">
        <v>40</v>
      </c>
      <c r="D23" s="78"/>
      <c r="E23" s="78"/>
      <c r="F23" s="78"/>
      <c r="G23" s="78"/>
      <c r="H23" s="78"/>
      <c r="I23" s="78"/>
      <c r="J23" s="78"/>
      <c r="K23" s="78"/>
      <c r="L23" s="38">
        <f t="shared" si="0"/>
        <v>0</v>
      </c>
      <c r="M23" s="79" t="str">
        <f t="shared" si="2"/>
        <v/>
      </c>
    </row>
    <row r="24" spans="1:15">
      <c r="A24" s="34" t="s">
        <v>1</v>
      </c>
      <c r="B24" s="35" t="s">
        <v>8</v>
      </c>
      <c r="C24" s="40" t="s">
        <v>21</v>
      </c>
      <c r="D24" s="37"/>
      <c r="E24" s="37"/>
      <c r="F24" s="37"/>
      <c r="G24" s="37"/>
      <c r="H24" s="37"/>
      <c r="I24" s="37"/>
      <c r="J24" s="37"/>
      <c r="K24" s="37"/>
      <c r="L24" s="38">
        <f t="shared" si="0"/>
        <v>0</v>
      </c>
      <c r="M24" s="76" t="str">
        <f t="shared" si="2"/>
        <v/>
      </c>
    </row>
    <row r="25" spans="1:15">
      <c r="A25" s="34" t="s">
        <v>1</v>
      </c>
      <c r="B25" s="35" t="s">
        <v>8</v>
      </c>
      <c r="C25" s="40" t="s">
        <v>20</v>
      </c>
      <c r="D25" s="37"/>
      <c r="E25" s="37"/>
      <c r="F25" s="37"/>
      <c r="G25" s="37"/>
      <c r="H25" s="37"/>
      <c r="I25" s="37"/>
      <c r="J25" s="37"/>
      <c r="K25" s="37"/>
      <c r="L25" s="38">
        <f t="shared" si="0"/>
        <v>0</v>
      </c>
      <c r="M25" s="76" t="str">
        <f t="shared" si="2"/>
        <v/>
      </c>
    </row>
    <row r="26" spans="1:15">
      <c r="A26" s="34" t="s">
        <v>1</v>
      </c>
      <c r="B26" s="35" t="s">
        <v>8</v>
      </c>
      <c r="C26" s="40" t="s">
        <v>36</v>
      </c>
      <c r="D26" s="37"/>
      <c r="E26" s="37"/>
      <c r="F26" s="37"/>
      <c r="G26" s="37"/>
      <c r="H26" s="37"/>
      <c r="I26" s="37"/>
      <c r="J26" s="37"/>
      <c r="K26" s="37"/>
      <c r="L26" s="38">
        <f t="shared" si="0"/>
        <v>0</v>
      </c>
      <c r="M26" s="76" t="str">
        <f t="shared" si="2"/>
        <v/>
      </c>
    </row>
    <row r="27" spans="1:15">
      <c r="A27" s="34" t="s">
        <v>1</v>
      </c>
      <c r="B27" s="35" t="s">
        <v>8</v>
      </c>
      <c r="C27" s="40" t="s">
        <v>37</v>
      </c>
      <c r="D27" s="37"/>
      <c r="E27" s="37"/>
      <c r="F27" s="37"/>
      <c r="G27" s="37"/>
      <c r="H27" s="37"/>
      <c r="I27" s="37"/>
      <c r="J27" s="37"/>
      <c r="K27" s="37"/>
      <c r="L27" s="38">
        <f t="shared" si="0"/>
        <v>0</v>
      </c>
      <c r="M27" s="76" t="str">
        <f t="shared" si="2"/>
        <v/>
      </c>
    </row>
    <row r="28" spans="1:15">
      <c r="A28" s="34" t="s">
        <v>1</v>
      </c>
      <c r="B28" s="35" t="s">
        <v>8</v>
      </c>
      <c r="C28" s="41" t="s">
        <v>38</v>
      </c>
      <c r="D28" s="37"/>
      <c r="E28" s="37"/>
      <c r="F28" s="37"/>
      <c r="G28" s="37"/>
      <c r="H28" s="37"/>
      <c r="I28" s="37"/>
      <c r="J28" s="37"/>
      <c r="K28" s="37"/>
      <c r="L28" s="38">
        <f t="shared" si="0"/>
        <v>0</v>
      </c>
      <c r="M28" s="76" t="str">
        <f t="shared" si="2"/>
        <v/>
      </c>
    </row>
    <row r="29" spans="1:15">
      <c r="A29" s="34" t="s">
        <v>1</v>
      </c>
      <c r="B29" s="35" t="s">
        <v>8</v>
      </c>
      <c r="C29" s="41" t="s">
        <v>39</v>
      </c>
      <c r="D29" s="37"/>
      <c r="E29" s="37"/>
      <c r="F29" s="37"/>
      <c r="G29" s="37"/>
      <c r="H29" s="37"/>
      <c r="I29" s="37"/>
      <c r="J29" s="37"/>
      <c r="K29" s="37"/>
      <c r="L29" s="38">
        <f t="shared" si="0"/>
        <v>0</v>
      </c>
      <c r="M29" s="76" t="str">
        <f t="shared" si="2"/>
        <v/>
      </c>
    </row>
    <row r="30" spans="1:15">
      <c r="A30" s="34" t="s">
        <v>1</v>
      </c>
      <c r="B30" s="35" t="s">
        <v>8</v>
      </c>
      <c r="C30" s="41" t="s">
        <v>40</v>
      </c>
      <c r="D30" s="37"/>
      <c r="E30" s="37"/>
      <c r="F30" s="37"/>
      <c r="G30" s="37"/>
      <c r="H30" s="37"/>
      <c r="I30" s="37"/>
      <c r="J30" s="37"/>
      <c r="K30" s="37"/>
      <c r="L30" s="38">
        <f t="shared" si="0"/>
        <v>0</v>
      </c>
      <c r="M30" s="76" t="str">
        <f t="shared" si="2"/>
        <v/>
      </c>
    </row>
    <row r="31" spans="1:15">
      <c r="A31" s="34" t="s">
        <v>3</v>
      </c>
      <c r="B31" s="35" t="s">
        <v>7</v>
      </c>
      <c r="C31" s="40" t="s">
        <v>21</v>
      </c>
      <c r="D31" s="37"/>
      <c r="E31" s="37"/>
      <c r="F31" s="37"/>
      <c r="G31" s="37"/>
      <c r="H31" s="37"/>
      <c r="I31" s="37"/>
      <c r="J31" s="37"/>
      <c r="K31" s="37"/>
      <c r="L31" s="38">
        <f t="shared" si="0"/>
        <v>0</v>
      </c>
      <c r="M31" s="76" t="str">
        <f t="shared" si="2"/>
        <v/>
      </c>
    </row>
    <row r="32" spans="1:15">
      <c r="A32" s="34" t="s">
        <v>3</v>
      </c>
      <c r="B32" s="35" t="s">
        <v>7</v>
      </c>
      <c r="C32" s="40" t="s">
        <v>20</v>
      </c>
      <c r="D32" s="37"/>
      <c r="E32" s="37"/>
      <c r="F32" s="37"/>
      <c r="G32" s="37"/>
      <c r="H32" s="37"/>
      <c r="I32" s="37"/>
      <c r="J32" s="37"/>
      <c r="K32" s="37"/>
      <c r="L32" s="38">
        <f t="shared" si="0"/>
        <v>0</v>
      </c>
      <c r="M32" s="76" t="str">
        <f t="shared" si="2"/>
        <v/>
      </c>
    </row>
    <row r="33" spans="1:13">
      <c r="A33" s="34" t="s">
        <v>3</v>
      </c>
      <c r="B33" s="35" t="s">
        <v>7</v>
      </c>
      <c r="C33" s="40" t="s">
        <v>36</v>
      </c>
      <c r="D33" s="37"/>
      <c r="E33" s="37"/>
      <c r="F33" s="37"/>
      <c r="G33" s="37"/>
      <c r="H33" s="37"/>
      <c r="I33" s="37"/>
      <c r="J33" s="37"/>
      <c r="K33" s="37"/>
      <c r="L33" s="38">
        <f t="shared" si="0"/>
        <v>0</v>
      </c>
      <c r="M33" s="76" t="str">
        <f t="shared" si="2"/>
        <v/>
      </c>
    </row>
    <row r="34" spans="1:13">
      <c r="A34" s="34" t="s">
        <v>3</v>
      </c>
      <c r="B34" s="35" t="s">
        <v>7</v>
      </c>
      <c r="C34" s="40" t="s">
        <v>37</v>
      </c>
      <c r="D34" s="37"/>
      <c r="E34" s="37"/>
      <c r="F34" s="37"/>
      <c r="G34" s="37"/>
      <c r="H34" s="37"/>
      <c r="I34" s="37"/>
      <c r="J34" s="37"/>
      <c r="K34" s="37"/>
      <c r="L34" s="38">
        <f t="shared" si="0"/>
        <v>0</v>
      </c>
      <c r="M34" s="76" t="str">
        <f t="shared" si="2"/>
        <v/>
      </c>
    </row>
    <row r="35" spans="1:13">
      <c r="A35" s="34" t="s">
        <v>3</v>
      </c>
      <c r="B35" s="35" t="s">
        <v>7</v>
      </c>
      <c r="C35" s="41" t="s">
        <v>38</v>
      </c>
      <c r="D35" s="37"/>
      <c r="E35" s="37"/>
      <c r="F35" s="37"/>
      <c r="G35" s="37"/>
      <c r="H35" s="37"/>
      <c r="I35" s="37"/>
      <c r="J35" s="37"/>
      <c r="K35" s="37"/>
      <c r="L35" s="38">
        <f t="shared" si="0"/>
        <v>0</v>
      </c>
      <c r="M35" s="76" t="str">
        <f t="shared" si="2"/>
        <v/>
      </c>
    </row>
    <row r="36" spans="1:13">
      <c r="A36" s="34" t="s">
        <v>3</v>
      </c>
      <c r="B36" s="35" t="s">
        <v>7</v>
      </c>
      <c r="C36" s="41" t="s">
        <v>39</v>
      </c>
      <c r="D36" s="37"/>
      <c r="E36" s="37"/>
      <c r="F36" s="37"/>
      <c r="G36" s="37"/>
      <c r="H36" s="37"/>
      <c r="I36" s="37"/>
      <c r="J36" s="37"/>
      <c r="K36" s="37"/>
      <c r="L36" s="38">
        <f t="shared" si="0"/>
        <v>0</v>
      </c>
      <c r="M36" s="76" t="str">
        <f t="shared" si="2"/>
        <v/>
      </c>
    </row>
    <row r="37" spans="1:13">
      <c r="A37" s="34" t="s">
        <v>3</v>
      </c>
      <c r="B37" s="35" t="s">
        <v>7</v>
      </c>
      <c r="C37" s="41" t="s">
        <v>40</v>
      </c>
      <c r="D37" s="37"/>
      <c r="E37" s="37"/>
      <c r="F37" s="37"/>
      <c r="G37" s="37"/>
      <c r="H37" s="37"/>
      <c r="I37" s="37"/>
      <c r="J37" s="37"/>
      <c r="K37" s="37"/>
      <c r="L37" s="38">
        <f t="shared" si="0"/>
        <v>0</v>
      </c>
      <c r="M37" s="76" t="str">
        <f t="shared" si="2"/>
        <v/>
      </c>
    </row>
    <row r="38" spans="1:13">
      <c r="A38" s="34" t="s">
        <v>3</v>
      </c>
      <c r="B38" s="35" t="s">
        <v>8</v>
      </c>
      <c r="C38" s="41" t="s">
        <v>21</v>
      </c>
      <c r="D38" s="37"/>
      <c r="E38" s="37"/>
      <c r="F38" s="37"/>
      <c r="G38" s="37"/>
      <c r="H38" s="37"/>
      <c r="I38" s="37"/>
      <c r="J38" s="37"/>
      <c r="K38" s="37"/>
      <c r="L38" s="38">
        <f t="shared" si="0"/>
        <v>0</v>
      </c>
      <c r="M38" s="76" t="str">
        <f t="shared" si="2"/>
        <v/>
      </c>
    </row>
    <row r="39" spans="1:13">
      <c r="A39" s="34" t="s">
        <v>3</v>
      </c>
      <c r="B39" s="35" t="s">
        <v>8</v>
      </c>
      <c r="C39" s="41" t="s">
        <v>20</v>
      </c>
      <c r="D39" s="37"/>
      <c r="E39" s="37"/>
      <c r="F39" s="37"/>
      <c r="G39" s="37"/>
      <c r="H39" s="37"/>
      <c r="I39" s="37"/>
      <c r="J39" s="37"/>
      <c r="K39" s="37"/>
      <c r="L39" s="38">
        <f t="shared" si="0"/>
        <v>0</v>
      </c>
      <c r="M39" s="76" t="str">
        <f t="shared" si="2"/>
        <v/>
      </c>
    </row>
    <row r="40" spans="1:13">
      <c r="A40" s="34" t="s">
        <v>3</v>
      </c>
      <c r="B40" s="35" t="s">
        <v>8</v>
      </c>
      <c r="C40" s="41" t="s">
        <v>36</v>
      </c>
      <c r="D40" s="37"/>
      <c r="E40" s="37"/>
      <c r="F40" s="37"/>
      <c r="G40" s="37"/>
      <c r="H40" s="37"/>
      <c r="I40" s="37"/>
      <c r="J40" s="37"/>
      <c r="K40" s="37"/>
      <c r="L40" s="38">
        <f t="shared" si="0"/>
        <v>0</v>
      </c>
      <c r="M40" s="76" t="str">
        <f t="shared" si="2"/>
        <v/>
      </c>
    </row>
    <row r="41" spans="1:13">
      <c r="A41" s="34" t="s">
        <v>3</v>
      </c>
      <c r="B41" s="35" t="s">
        <v>8</v>
      </c>
      <c r="C41" s="41" t="s">
        <v>37</v>
      </c>
      <c r="D41" s="37"/>
      <c r="E41" s="37"/>
      <c r="F41" s="37"/>
      <c r="G41" s="37"/>
      <c r="H41" s="37"/>
      <c r="I41" s="37"/>
      <c r="J41" s="37"/>
      <c r="K41" s="37"/>
      <c r="L41" s="38">
        <f t="shared" si="0"/>
        <v>0</v>
      </c>
      <c r="M41" s="76" t="str">
        <f t="shared" si="2"/>
        <v/>
      </c>
    </row>
    <row r="42" spans="1:13">
      <c r="A42" s="34" t="s">
        <v>3</v>
      </c>
      <c r="B42" s="35" t="s">
        <v>8</v>
      </c>
      <c r="C42" s="41" t="s">
        <v>38</v>
      </c>
      <c r="D42" s="37"/>
      <c r="E42" s="37"/>
      <c r="F42" s="37"/>
      <c r="G42" s="37"/>
      <c r="H42" s="37"/>
      <c r="I42" s="37"/>
      <c r="J42" s="37"/>
      <c r="K42" s="37"/>
      <c r="L42" s="38">
        <f t="shared" si="0"/>
        <v>0</v>
      </c>
      <c r="M42" s="76" t="str">
        <f t="shared" si="2"/>
        <v/>
      </c>
    </row>
    <row r="43" spans="1:13">
      <c r="A43" s="34" t="s">
        <v>3</v>
      </c>
      <c r="B43" s="35" t="s">
        <v>8</v>
      </c>
      <c r="C43" s="41" t="s">
        <v>39</v>
      </c>
      <c r="D43" s="37"/>
      <c r="E43" s="37"/>
      <c r="F43" s="37"/>
      <c r="G43" s="37"/>
      <c r="H43" s="37"/>
      <c r="I43" s="37"/>
      <c r="J43" s="37"/>
      <c r="K43" s="37"/>
      <c r="L43" s="38">
        <f t="shared" si="0"/>
        <v>0</v>
      </c>
      <c r="M43" s="76" t="str">
        <f t="shared" si="2"/>
        <v/>
      </c>
    </row>
    <row r="44" spans="1:13">
      <c r="A44" s="34" t="s">
        <v>3</v>
      </c>
      <c r="B44" s="35" t="s">
        <v>8</v>
      </c>
      <c r="C44" s="41" t="s">
        <v>40</v>
      </c>
      <c r="D44" s="37"/>
      <c r="E44" s="37"/>
      <c r="F44" s="37"/>
      <c r="G44" s="37"/>
      <c r="H44" s="37"/>
      <c r="I44" s="37"/>
      <c r="J44" s="37"/>
      <c r="K44" s="37"/>
      <c r="L44" s="38">
        <f t="shared" si="0"/>
        <v>0</v>
      </c>
      <c r="M44" s="76" t="str">
        <f t="shared" si="2"/>
        <v/>
      </c>
    </row>
    <row r="45" spans="1:13">
      <c r="D45" s="21"/>
      <c r="E45" s="21"/>
      <c r="F45" s="21"/>
      <c r="G45" s="21"/>
      <c r="H45" s="21"/>
      <c r="I45" s="21"/>
      <c r="J45" s="21"/>
      <c r="K45" s="21"/>
    </row>
    <row r="46" spans="1:13">
      <c r="D46" s="21"/>
      <c r="E46" s="21"/>
      <c r="F46" s="21"/>
      <c r="G46" s="21"/>
      <c r="H46" s="21"/>
      <c r="I46" s="21"/>
      <c r="J46" s="21"/>
      <c r="K46" s="21"/>
    </row>
    <row r="47" spans="1:13">
      <c r="D47" s="21"/>
      <c r="E47" s="21"/>
      <c r="F47" s="21"/>
      <c r="G47" s="21"/>
      <c r="H47" s="21"/>
      <c r="I47" s="21"/>
      <c r="J47" s="21"/>
      <c r="K47" s="21"/>
    </row>
    <row r="48" spans="1:13">
      <c r="D48" s="21"/>
      <c r="E48" s="21"/>
      <c r="F48" s="21"/>
      <c r="G48" s="21"/>
      <c r="H48" s="21"/>
      <c r="I48" s="21"/>
      <c r="J48" s="21"/>
      <c r="K48" s="21"/>
    </row>
    <row r="49" spans="4:11">
      <c r="D49" s="21"/>
      <c r="E49" s="21"/>
      <c r="F49" s="21"/>
      <c r="G49" s="21"/>
      <c r="H49" s="21"/>
      <c r="I49" s="21"/>
      <c r="J49" s="21"/>
      <c r="K49" s="21"/>
    </row>
    <row r="50" spans="4:11">
      <c r="D50" s="21"/>
      <c r="E50" s="21"/>
      <c r="F50" s="21"/>
      <c r="G50" s="21"/>
      <c r="H50" s="21"/>
      <c r="I50" s="21"/>
      <c r="J50" s="21"/>
      <c r="K50" s="21"/>
    </row>
    <row r="51" spans="4:11">
      <c r="D51" s="21"/>
      <c r="E51" s="21"/>
      <c r="F51" s="21"/>
      <c r="G51" s="21"/>
      <c r="H51" s="21"/>
      <c r="I51" s="21"/>
      <c r="J51" s="21"/>
      <c r="K51" s="21"/>
    </row>
  </sheetData>
  <mergeCells count="1">
    <mergeCell ref="D1:E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AF40-C5AA-46D6-8078-073E3F193A58}">
  <dimension ref="A1:T50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8" sqref="F18"/>
    </sheetView>
  </sheetViews>
  <sheetFormatPr defaultRowHeight="16"/>
  <cols>
    <col min="1" max="2" width="10.54296875" style="19" customWidth="1"/>
    <col min="3" max="3" width="10.54296875" style="20" customWidth="1"/>
    <col min="4" max="19" width="7" style="21" customWidth="1"/>
    <col min="20" max="20" width="9.7265625" style="21" bestFit="1" customWidth="1"/>
    <col min="21" max="16384" width="8.7265625" style="19"/>
  </cols>
  <sheetData>
    <row r="1" spans="1:20">
      <c r="A1" s="18" t="s">
        <v>300</v>
      </c>
    </row>
    <row r="2" spans="1:20" ht="31.5" customHeight="1">
      <c r="A2" s="6" t="s">
        <v>5</v>
      </c>
      <c r="B2" s="6" t="s">
        <v>6</v>
      </c>
      <c r="C2" s="22" t="s">
        <v>297</v>
      </c>
      <c r="D2" s="23" t="s">
        <v>20</v>
      </c>
      <c r="E2" s="23" t="s">
        <v>21</v>
      </c>
      <c r="F2" s="23" t="s">
        <v>22</v>
      </c>
      <c r="G2" s="23" t="s">
        <v>23</v>
      </c>
      <c r="H2" s="23" t="s">
        <v>24</v>
      </c>
      <c r="I2" s="23" t="s">
        <v>25</v>
      </c>
      <c r="J2" s="23" t="s">
        <v>26</v>
      </c>
      <c r="K2" s="23" t="s">
        <v>27</v>
      </c>
      <c r="L2" s="23" t="s">
        <v>28</v>
      </c>
      <c r="M2" s="23" t="s">
        <v>29</v>
      </c>
      <c r="N2" s="23" t="s">
        <v>30</v>
      </c>
      <c r="O2" s="23" t="s">
        <v>31</v>
      </c>
      <c r="P2" s="23" t="s">
        <v>32</v>
      </c>
      <c r="Q2" s="23" t="s">
        <v>33</v>
      </c>
      <c r="R2" s="23" t="s">
        <v>34</v>
      </c>
      <c r="S2" s="23" t="s">
        <v>35</v>
      </c>
      <c r="T2" s="23" t="s">
        <v>41</v>
      </c>
    </row>
    <row r="3" spans="1:20">
      <c r="A3" s="9" t="s">
        <v>2</v>
      </c>
      <c r="B3" s="9" t="s">
        <v>7</v>
      </c>
      <c r="C3" s="24">
        <v>68</v>
      </c>
      <c r="D3" s="25">
        <v>670</v>
      </c>
      <c r="E3" s="25">
        <v>364</v>
      </c>
      <c r="F3" s="25">
        <v>130</v>
      </c>
      <c r="G3" s="25">
        <v>171</v>
      </c>
      <c r="H3" s="25">
        <v>287</v>
      </c>
      <c r="I3" s="25">
        <v>186</v>
      </c>
      <c r="J3" s="25">
        <v>256</v>
      </c>
      <c r="K3" s="25">
        <v>237</v>
      </c>
      <c r="L3" s="25">
        <v>25</v>
      </c>
      <c r="M3" s="25">
        <v>2</v>
      </c>
      <c r="N3" s="25">
        <v>14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26">
        <f>IF(COUNT(D3:S3)=0,"",SUM(D3:S3))</f>
        <v>2342</v>
      </c>
    </row>
    <row r="4" spans="1:20">
      <c r="A4" s="9" t="s">
        <v>2</v>
      </c>
      <c r="B4" s="9" t="s">
        <v>8</v>
      </c>
      <c r="C4" s="24">
        <v>75</v>
      </c>
      <c r="D4" s="25">
        <v>658</v>
      </c>
      <c r="E4" s="25">
        <v>366</v>
      </c>
      <c r="F4" s="25">
        <v>121</v>
      </c>
      <c r="G4" s="25">
        <v>172</v>
      </c>
      <c r="H4" s="25">
        <v>296</v>
      </c>
      <c r="I4" s="25">
        <v>182</v>
      </c>
      <c r="J4" s="25">
        <v>341</v>
      </c>
      <c r="K4" s="25">
        <v>248</v>
      </c>
      <c r="L4" s="25">
        <v>14</v>
      </c>
      <c r="M4" s="25">
        <v>3</v>
      </c>
      <c r="N4" s="25">
        <v>12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6">
        <f t="shared" ref="T4:T50" si="0">IF(COUNT(D4:S4)=0,"",SUM(D4:S4))</f>
        <v>2413</v>
      </c>
    </row>
    <row r="5" spans="1:20">
      <c r="A5" s="9" t="s">
        <v>2</v>
      </c>
      <c r="B5" s="9" t="s">
        <v>9</v>
      </c>
      <c r="C5" s="24"/>
      <c r="D5" s="25"/>
      <c r="E5" s="27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 t="str">
        <f t="shared" si="0"/>
        <v/>
      </c>
    </row>
    <row r="6" spans="1:20">
      <c r="A6" s="9" t="s">
        <v>2</v>
      </c>
      <c r="B6" s="9" t="s">
        <v>10</v>
      </c>
      <c r="C6" s="24"/>
      <c r="D6" s="25"/>
      <c r="E6" s="27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 t="str">
        <f t="shared" si="0"/>
        <v/>
      </c>
    </row>
    <row r="7" spans="1:20">
      <c r="A7" s="9" t="s">
        <v>2</v>
      </c>
      <c r="B7" s="9" t="s">
        <v>11</v>
      </c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 t="str">
        <f t="shared" si="0"/>
        <v/>
      </c>
    </row>
    <row r="8" spans="1:20">
      <c r="A8" s="9" t="s">
        <v>2</v>
      </c>
      <c r="B8" s="9" t="s">
        <v>12</v>
      </c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 t="str">
        <f t="shared" si="0"/>
        <v/>
      </c>
    </row>
    <row r="9" spans="1:20">
      <c r="A9" s="9" t="s">
        <v>2</v>
      </c>
      <c r="B9" s="9" t="s">
        <v>13</v>
      </c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 t="str">
        <f t="shared" si="0"/>
        <v/>
      </c>
    </row>
    <row r="10" spans="1:20">
      <c r="A10" s="9" t="s">
        <v>2</v>
      </c>
      <c r="B10" s="9" t="s">
        <v>14</v>
      </c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 t="str">
        <f t="shared" si="0"/>
        <v/>
      </c>
    </row>
    <row r="11" spans="1:20">
      <c r="A11" s="9" t="s">
        <v>2</v>
      </c>
      <c r="B11" s="9" t="s">
        <v>15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 t="str">
        <f t="shared" si="0"/>
        <v/>
      </c>
    </row>
    <row r="12" spans="1:20">
      <c r="A12" s="9" t="s">
        <v>2</v>
      </c>
      <c r="B12" s="9" t="s">
        <v>16</v>
      </c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 t="str">
        <f t="shared" si="0"/>
        <v/>
      </c>
    </row>
    <row r="13" spans="1:20">
      <c r="A13" s="9" t="s">
        <v>2</v>
      </c>
      <c r="B13" s="9" t="s">
        <v>17</v>
      </c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 t="str">
        <f t="shared" si="0"/>
        <v/>
      </c>
    </row>
    <row r="14" spans="1:20">
      <c r="A14" s="9" t="s">
        <v>2</v>
      </c>
      <c r="B14" s="9" t="s">
        <v>18</v>
      </c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 t="str">
        <f t="shared" si="0"/>
        <v/>
      </c>
    </row>
    <row r="15" spans="1:20">
      <c r="A15" s="9" t="s">
        <v>1</v>
      </c>
      <c r="B15" s="9" t="s">
        <v>7</v>
      </c>
      <c r="C15" s="28">
        <v>120</v>
      </c>
      <c r="D15" s="29">
        <f>D3*1.5</f>
        <v>1005</v>
      </c>
      <c r="E15" s="27">
        <f>E3*1.7</f>
        <v>618.79999999999995</v>
      </c>
      <c r="F15" s="25">
        <f>F3*2</f>
        <v>260</v>
      </c>
      <c r="G15" s="25">
        <f t="shared" ref="G15:S16" si="1">G3*2</f>
        <v>342</v>
      </c>
      <c r="H15" s="25">
        <f t="shared" si="1"/>
        <v>574</v>
      </c>
      <c r="I15" s="25">
        <f t="shared" si="1"/>
        <v>372</v>
      </c>
      <c r="J15" s="25">
        <f t="shared" si="1"/>
        <v>512</v>
      </c>
      <c r="K15" s="25">
        <f t="shared" si="1"/>
        <v>474</v>
      </c>
      <c r="L15" s="25">
        <f t="shared" si="1"/>
        <v>50</v>
      </c>
      <c r="M15" s="25">
        <f t="shared" si="1"/>
        <v>4</v>
      </c>
      <c r="N15" s="25">
        <f t="shared" si="1"/>
        <v>28</v>
      </c>
      <c r="O15" s="25">
        <v>5</v>
      </c>
      <c r="P15" s="25">
        <v>3</v>
      </c>
      <c r="Q15" s="25">
        <f t="shared" si="1"/>
        <v>0</v>
      </c>
      <c r="R15" s="25">
        <f t="shared" si="1"/>
        <v>0</v>
      </c>
      <c r="S15" s="25">
        <f t="shared" si="1"/>
        <v>0</v>
      </c>
      <c r="T15" s="26">
        <f t="shared" si="0"/>
        <v>4247.8</v>
      </c>
    </row>
    <row r="16" spans="1:20">
      <c r="A16" s="9" t="s">
        <v>1</v>
      </c>
      <c r="B16" s="9" t="s">
        <v>8</v>
      </c>
      <c r="C16" s="28">
        <v>110</v>
      </c>
      <c r="D16" s="29">
        <f>D4*1.5</f>
        <v>987</v>
      </c>
      <c r="E16" s="27">
        <f>E4*1.7</f>
        <v>622.19999999999993</v>
      </c>
      <c r="F16" s="25">
        <f>F4*2</f>
        <v>242</v>
      </c>
      <c r="G16" s="25">
        <f t="shared" si="1"/>
        <v>344</v>
      </c>
      <c r="H16" s="25">
        <f t="shared" si="1"/>
        <v>592</v>
      </c>
      <c r="I16" s="25">
        <f t="shared" si="1"/>
        <v>364</v>
      </c>
      <c r="J16" s="25">
        <f t="shared" si="1"/>
        <v>682</v>
      </c>
      <c r="K16" s="25">
        <f t="shared" si="1"/>
        <v>496</v>
      </c>
      <c r="L16" s="25">
        <f t="shared" si="1"/>
        <v>28</v>
      </c>
      <c r="M16" s="25">
        <f t="shared" si="1"/>
        <v>6</v>
      </c>
      <c r="N16" s="25">
        <f t="shared" si="1"/>
        <v>24</v>
      </c>
      <c r="O16" s="25">
        <v>7</v>
      </c>
      <c r="P16" s="25">
        <v>6</v>
      </c>
      <c r="Q16" s="25">
        <f t="shared" si="1"/>
        <v>0</v>
      </c>
      <c r="R16" s="25">
        <f t="shared" si="1"/>
        <v>0</v>
      </c>
      <c r="S16" s="25">
        <f t="shared" si="1"/>
        <v>0</v>
      </c>
      <c r="T16" s="26">
        <f t="shared" si="0"/>
        <v>4400.2</v>
      </c>
    </row>
    <row r="17" spans="1:20">
      <c r="A17" s="9" t="s">
        <v>1</v>
      </c>
      <c r="B17" s="9" t="s">
        <v>9</v>
      </c>
      <c r="C17" s="28"/>
      <c r="D17" s="29"/>
      <c r="E17" s="27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 t="str">
        <f t="shared" si="0"/>
        <v/>
      </c>
    </row>
    <row r="18" spans="1:20">
      <c r="A18" s="9" t="s">
        <v>1</v>
      </c>
      <c r="B18" s="9" t="s">
        <v>10</v>
      </c>
      <c r="C18" s="28"/>
      <c r="D18" s="29"/>
      <c r="E18" s="27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 t="str">
        <f t="shared" si="0"/>
        <v/>
      </c>
    </row>
    <row r="19" spans="1:20">
      <c r="A19" s="9" t="s">
        <v>1</v>
      </c>
      <c r="B19" s="9" t="s">
        <v>11</v>
      </c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 t="str">
        <f t="shared" si="0"/>
        <v/>
      </c>
    </row>
    <row r="20" spans="1:20">
      <c r="A20" s="9" t="s">
        <v>1</v>
      </c>
      <c r="B20" s="9" t="s">
        <v>12</v>
      </c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 t="str">
        <f t="shared" si="0"/>
        <v/>
      </c>
    </row>
    <row r="21" spans="1:20">
      <c r="A21" s="9" t="s">
        <v>1</v>
      </c>
      <c r="B21" s="9" t="s">
        <v>13</v>
      </c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tr">
        <f t="shared" si="0"/>
        <v/>
      </c>
    </row>
    <row r="22" spans="1:20">
      <c r="A22" s="9" t="s">
        <v>1</v>
      </c>
      <c r="B22" s="9" t="s">
        <v>14</v>
      </c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 t="str">
        <f t="shared" si="0"/>
        <v/>
      </c>
    </row>
    <row r="23" spans="1:20">
      <c r="A23" s="9" t="s">
        <v>1</v>
      </c>
      <c r="B23" s="9" t="s">
        <v>15</v>
      </c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 t="str">
        <f t="shared" si="0"/>
        <v/>
      </c>
    </row>
    <row r="24" spans="1:20">
      <c r="A24" s="9" t="s">
        <v>1</v>
      </c>
      <c r="B24" s="9" t="s">
        <v>16</v>
      </c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 t="str">
        <f t="shared" si="0"/>
        <v/>
      </c>
    </row>
    <row r="25" spans="1:20">
      <c r="A25" s="9" t="s">
        <v>1</v>
      </c>
      <c r="B25" s="9" t="s">
        <v>17</v>
      </c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 t="str">
        <f t="shared" si="0"/>
        <v/>
      </c>
    </row>
    <row r="26" spans="1:20">
      <c r="A26" s="9" t="s">
        <v>1</v>
      </c>
      <c r="B26" s="9" t="s">
        <v>18</v>
      </c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 t="str">
        <f t="shared" si="0"/>
        <v/>
      </c>
    </row>
    <row r="27" spans="1:20">
      <c r="A27" s="9" t="s">
        <v>3</v>
      </c>
      <c r="B27" s="9" t="s">
        <v>7</v>
      </c>
      <c r="C27" s="28">
        <v>130</v>
      </c>
      <c r="D27" s="29">
        <f>D15*1.5</f>
        <v>1507.5</v>
      </c>
      <c r="E27" s="27">
        <f>E15*1.7</f>
        <v>1051.9599999999998</v>
      </c>
      <c r="F27" s="25">
        <f>F15*2</f>
        <v>520</v>
      </c>
      <c r="G27" s="25">
        <f t="shared" ref="G27:N28" si="2">G15*2</f>
        <v>684</v>
      </c>
      <c r="H27" s="25">
        <f t="shared" si="2"/>
        <v>1148</v>
      </c>
      <c r="I27" s="25">
        <f t="shared" si="2"/>
        <v>744</v>
      </c>
      <c r="J27" s="25">
        <f t="shared" si="2"/>
        <v>1024</v>
      </c>
      <c r="K27" s="25">
        <f t="shared" si="2"/>
        <v>948</v>
      </c>
      <c r="L27" s="25">
        <f t="shared" si="2"/>
        <v>100</v>
      </c>
      <c r="M27" s="25">
        <f t="shared" si="2"/>
        <v>8</v>
      </c>
      <c r="N27" s="25">
        <f t="shared" si="2"/>
        <v>56</v>
      </c>
      <c r="O27" s="25">
        <v>5</v>
      </c>
      <c r="P27" s="25">
        <v>3</v>
      </c>
      <c r="Q27" s="25">
        <f t="shared" ref="Q27:S28" si="3">Q15*2</f>
        <v>0</v>
      </c>
      <c r="R27" s="25">
        <f t="shared" si="3"/>
        <v>0</v>
      </c>
      <c r="S27" s="25">
        <f t="shared" si="3"/>
        <v>0</v>
      </c>
      <c r="T27" s="26">
        <f t="shared" si="0"/>
        <v>7799.46</v>
      </c>
    </row>
    <row r="28" spans="1:20">
      <c r="A28" s="9" t="s">
        <v>3</v>
      </c>
      <c r="B28" s="9" t="s">
        <v>8</v>
      </c>
      <c r="C28" s="28">
        <v>125</v>
      </c>
      <c r="D28" s="29">
        <f>D16*1.5</f>
        <v>1480.5</v>
      </c>
      <c r="E28" s="27">
        <f>E16*1.7</f>
        <v>1057.7399999999998</v>
      </c>
      <c r="F28" s="25">
        <f>F16*2</f>
        <v>484</v>
      </c>
      <c r="G28" s="25">
        <f t="shared" si="2"/>
        <v>688</v>
      </c>
      <c r="H28" s="25">
        <f t="shared" si="2"/>
        <v>1184</v>
      </c>
      <c r="I28" s="25">
        <f t="shared" si="2"/>
        <v>728</v>
      </c>
      <c r="J28" s="25">
        <f t="shared" si="2"/>
        <v>1364</v>
      </c>
      <c r="K28" s="25">
        <f t="shared" si="2"/>
        <v>992</v>
      </c>
      <c r="L28" s="25">
        <f t="shared" si="2"/>
        <v>56</v>
      </c>
      <c r="M28" s="25">
        <f t="shared" si="2"/>
        <v>12</v>
      </c>
      <c r="N28" s="25">
        <f t="shared" si="2"/>
        <v>48</v>
      </c>
      <c r="O28" s="25">
        <v>7</v>
      </c>
      <c r="P28" s="25">
        <v>6</v>
      </c>
      <c r="Q28" s="25">
        <f t="shared" si="3"/>
        <v>0</v>
      </c>
      <c r="R28" s="25">
        <f t="shared" si="3"/>
        <v>0</v>
      </c>
      <c r="S28" s="25">
        <f t="shared" si="3"/>
        <v>0</v>
      </c>
      <c r="T28" s="26">
        <f t="shared" si="0"/>
        <v>8107.24</v>
      </c>
    </row>
    <row r="29" spans="1:20">
      <c r="A29" s="9" t="s">
        <v>3</v>
      </c>
      <c r="B29" s="9" t="s">
        <v>9</v>
      </c>
      <c r="C29" s="28"/>
      <c r="D29" s="29"/>
      <c r="E29" s="27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 t="str">
        <f t="shared" si="0"/>
        <v/>
      </c>
    </row>
    <row r="30" spans="1:20">
      <c r="A30" s="9" t="s">
        <v>3</v>
      </c>
      <c r="B30" s="9" t="s">
        <v>10</v>
      </c>
      <c r="C30" s="28"/>
      <c r="D30" s="29"/>
      <c r="E30" s="27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 t="str">
        <f t="shared" si="0"/>
        <v/>
      </c>
    </row>
    <row r="31" spans="1:20">
      <c r="A31" s="9" t="s">
        <v>3</v>
      </c>
      <c r="B31" s="9" t="s">
        <v>11</v>
      </c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 t="str">
        <f t="shared" si="0"/>
        <v/>
      </c>
    </row>
    <row r="32" spans="1:20">
      <c r="A32" s="9" t="s">
        <v>3</v>
      </c>
      <c r="B32" s="9" t="s">
        <v>12</v>
      </c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 t="str">
        <f t="shared" si="0"/>
        <v/>
      </c>
    </row>
    <row r="33" spans="1:20">
      <c r="A33" s="9" t="s">
        <v>3</v>
      </c>
      <c r="B33" s="9" t="s">
        <v>13</v>
      </c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 t="str">
        <f t="shared" si="0"/>
        <v/>
      </c>
    </row>
    <row r="34" spans="1:20">
      <c r="A34" s="9" t="s">
        <v>3</v>
      </c>
      <c r="B34" s="9" t="s">
        <v>14</v>
      </c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 t="str">
        <f t="shared" si="0"/>
        <v/>
      </c>
    </row>
    <row r="35" spans="1:20">
      <c r="A35" s="9" t="s">
        <v>3</v>
      </c>
      <c r="B35" s="9" t="s">
        <v>15</v>
      </c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 t="str">
        <f t="shared" si="0"/>
        <v/>
      </c>
    </row>
    <row r="36" spans="1:20">
      <c r="A36" s="9" t="s">
        <v>3</v>
      </c>
      <c r="B36" s="9" t="s">
        <v>16</v>
      </c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 t="str">
        <f t="shared" si="0"/>
        <v/>
      </c>
    </row>
    <row r="37" spans="1:20">
      <c r="A37" s="9" t="s">
        <v>3</v>
      </c>
      <c r="B37" s="9" t="s">
        <v>17</v>
      </c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 t="str">
        <f t="shared" si="0"/>
        <v/>
      </c>
    </row>
    <row r="38" spans="1:20">
      <c r="A38" s="9" t="s">
        <v>3</v>
      </c>
      <c r="B38" s="9" t="s">
        <v>18</v>
      </c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 t="str">
        <f t="shared" si="0"/>
        <v/>
      </c>
    </row>
    <row r="39" spans="1:20">
      <c r="A39" s="9" t="s">
        <v>4</v>
      </c>
      <c r="B39" s="9" t="s">
        <v>7</v>
      </c>
      <c r="C39" s="28"/>
      <c r="D39" s="2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 t="str">
        <f t="shared" si="0"/>
        <v/>
      </c>
    </row>
    <row r="40" spans="1:20">
      <c r="A40" s="9" t="s">
        <v>4</v>
      </c>
      <c r="B40" s="9" t="s">
        <v>8</v>
      </c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 t="str">
        <f t="shared" si="0"/>
        <v/>
      </c>
    </row>
    <row r="41" spans="1:20">
      <c r="A41" s="9" t="s">
        <v>4</v>
      </c>
      <c r="B41" s="9" t="s">
        <v>9</v>
      </c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 t="str">
        <f t="shared" si="0"/>
        <v/>
      </c>
    </row>
    <row r="42" spans="1:20">
      <c r="A42" s="9" t="s">
        <v>4</v>
      </c>
      <c r="B42" s="9" t="s">
        <v>10</v>
      </c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 t="str">
        <f t="shared" si="0"/>
        <v/>
      </c>
    </row>
    <row r="43" spans="1:20">
      <c r="A43" s="9" t="s">
        <v>4</v>
      </c>
      <c r="B43" s="9" t="s">
        <v>11</v>
      </c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 t="str">
        <f t="shared" si="0"/>
        <v/>
      </c>
    </row>
    <row r="44" spans="1:20">
      <c r="A44" s="9" t="s">
        <v>4</v>
      </c>
      <c r="B44" s="9" t="s">
        <v>12</v>
      </c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 t="str">
        <f t="shared" si="0"/>
        <v/>
      </c>
    </row>
    <row r="45" spans="1:20">
      <c r="A45" s="9" t="s">
        <v>4</v>
      </c>
      <c r="B45" s="9" t="s">
        <v>13</v>
      </c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 t="str">
        <f t="shared" si="0"/>
        <v/>
      </c>
    </row>
    <row r="46" spans="1:20">
      <c r="A46" s="9" t="s">
        <v>4</v>
      </c>
      <c r="B46" s="9" t="s">
        <v>14</v>
      </c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 t="str">
        <f t="shared" si="0"/>
        <v/>
      </c>
    </row>
    <row r="47" spans="1:20">
      <c r="A47" s="9" t="s">
        <v>4</v>
      </c>
      <c r="B47" s="9" t="s">
        <v>15</v>
      </c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 t="str">
        <f t="shared" si="0"/>
        <v/>
      </c>
    </row>
    <row r="48" spans="1:20">
      <c r="A48" s="9" t="s">
        <v>4</v>
      </c>
      <c r="B48" s="9" t="s">
        <v>16</v>
      </c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 t="str">
        <f t="shared" si="0"/>
        <v/>
      </c>
    </row>
    <row r="49" spans="1:20">
      <c r="A49" s="9" t="s">
        <v>4</v>
      </c>
      <c r="B49" s="9" t="s">
        <v>17</v>
      </c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 t="str">
        <f t="shared" si="0"/>
        <v/>
      </c>
    </row>
    <row r="50" spans="1:20">
      <c r="A50" s="9" t="s">
        <v>4</v>
      </c>
      <c r="B50" s="9" t="s">
        <v>18</v>
      </c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 t="str">
        <f t="shared" si="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D770-CAB5-4A21-8236-B2AB3A09A7F3}">
  <dimension ref="A1:P353"/>
  <sheetViews>
    <sheetView zoomScale="85" zoomScaleNormal="85" workbookViewId="0">
      <selection activeCell="I14" sqref="I14"/>
    </sheetView>
  </sheetViews>
  <sheetFormatPr defaultRowHeight="16"/>
  <cols>
    <col min="1" max="1" width="7.6328125" style="43" customWidth="1"/>
    <col min="2" max="2" width="9.36328125" style="43" customWidth="1"/>
    <col min="3" max="3" width="15.1796875" style="43" customWidth="1"/>
    <col min="4" max="15" width="8.7265625" style="43"/>
    <col min="16" max="16" width="9.1796875" style="59" bestFit="1" customWidth="1"/>
    <col min="17" max="16384" width="8.7265625" style="43"/>
  </cols>
  <sheetData>
    <row r="1" spans="1:16">
      <c r="A1" s="42" t="s">
        <v>299</v>
      </c>
    </row>
    <row r="2" spans="1:16" ht="24.5" customHeight="1">
      <c r="A2" s="55" t="s">
        <v>45</v>
      </c>
      <c r="B2" s="60" t="s">
        <v>5</v>
      </c>
      <c r="C2" s="55" t="s">
        <v>46</v>
      </c>
      <c r="D2" s="61" t="s">
        <v>42</v>
      </c>
      <c r="E2" s="62" t="s">
        <v>43</v>
      </c>
      <c r="F2" s="62" t="s">
        <v>47</v>
      </c>
      <c r="G2" s="62" t="s">
        <v>48</v>
      </c>
      <c r="H2" s="62" t="s">
        <v>144</v>
      </c>
      <c r="I2" s="62" t="s">
        <v>145</v>
      </c>
      <c r="J2" s="62" t="s">
        <v>146</v>
      </c>
      <c r="K2" s="62" t="s">
        <v>147</v>
      </c>
      <c r="L2" s="62" t="s">
        <v>148</v>
      </c>
      <c r="M2" s="62" t="s">
        <v>149</v>
      </c>
      <c r="N2" s="62" t="s">
        <v>150</v>
      </c>
      <c r="O2" s="62" t="s">
        <v>151</v>
      </c>
      <c r="P2" s="63" t="s">
        <v>0</v>
      </c>
    </row>
    <row r="3" spans="1:16" ht="19" customHeight="1">
      <c r="A3" s="3">
        <v>1</v>
      </c>
      <c r="B3" s="3" t="s">
        <v>2</v>
      </c>
      <c r="C3" s="74" t="s">
        <v>49</v>
      </c>
      <c r="D3" s="64">
        <v>512</v>
      </c>
      <c r="E3" s="64">
        <v>586</v>
      </c>
      <c r="F3" s="64">
        <v>611</v>
      </c>
      <c r="G3" s="64">
        <v>716</v>
      </c>
      <c r="H3" s="65"/>
      <c r="I3" s="65"/>
      <c r="J3" s="65"/>
      <c r="K3" s="65"/>
      <c r="L3" s="65"/>
      <c r="M3" s="65"/>
      <c r="N3" s="65"/>
      <c r="O3" s="65"/>
      <c r="P3" s="66">
        <f>SUM(D3:O3)</f>
        <v>2425</v>
      </c>
    </row>
    <row r="4" spans="1:16">
      <c r="A4" s="3">
        <v>2</v>
      </c>
      <c r="B4" s="3" t="s">
        <v>2</v>
      </c>
      <c r="C4" s="74" t="s">
        <v>50</v>
      </c>
      <c r="D4" s="64">
        <v>557</v>
      </c>
      <c r="E4" s="64">
        <v>529</v>
      </c>
      <c r="F4" s="64">
        <v>562</v>
      </c>
      <c r="G4" s="64">
        <v>690</v>
      </c>
      <c r="H4" s="65"/>
      <c r="I4" s="65"/>
      <c r="J4" s="65"/>
      <c r="K4" s="65"/>
      <c r="L4" s="65"/>
      <c r="M4" s="65"/>
      <c r="N4" s="65"/>
      <c r="O4" s="65"/>
      <c r="P4" s="66">
        <f t="shared" ref="P4:P67" si="0">SUM(D4:O4)</f>
        <v>2338</v>
      </c>
    </row>
    <row r="5" spans="1:16">
      <c r="A5" s="3">
        <v>3</v>
      </c>
      <c r="B5" s="3" t="s">
        <v>2</v>
      </c>
      <c r="C5" s="74" t="s">
        <v>51</v>
      </c>
      <c r="D5" s="64">
        <v>183</v>
      </c>
      <c r="E5" s="64">
        <v>163</v>
      </c>
      <c r="F5" s="64">
        <v>223</v>
      </c>
      <c r="G5" s="64">
        <v>185</v>
      </c>
      <c r="H5" s="65"/>
      <c r="I5" s="65"/>
      <c r="J5" s="65"/>
      <c r="K5" s="65"/>
      <c r="L5" s="65"/>
      <c r="M5" s="65"/>
      <c r="N5" s="65"/>
      <c r="O5" s="65"/>
      <c r="P5" s="66">
        <f t="shared" si="0"/>
        <v>754</v>
      </c>
    </row>
    <row r="6" spans="1:16">
      <c r="A6" s="3">
        <v>4</v>
      </c>
      <c r="B6" s="3" t="s">
        <v>2</v>
      </c>
      <c r="C6" s="74" t="s">
        <v>52</v>
      </c>
      <c r="D6" s="64">
        <v>155</v>
      </c>
      <c r="E6" s="64">
        <v>144</v>
      </c>
      <c r="F6" s="64">
        <v>161</v>
      </c>
      <c r="G6" s="64">
        <v>174</v>
      </c>
      <c r="H6" s="65"/>
      <c r="I6" s="65"/>
      <c r="J6" s="65"/>
      <c r="K6" s="65"/>
      <c r="L6" s="65"/>
      <c r="M6" s="65"/>
      <c r="N6" s="65"/>
      <c r="O6" s="65"/>
      <c r="P6" s="66">
        <f t="shared" si="0"/>
        <v>634</v>
      </c>
    </row>
    <row r="7" spans="1:16">
      <c r="A7" s="3">
        <v>5</v>
      </c>
      <c r="B7" s="3" t="s">
        <v>2</v>
      </c>
      <c r="C7" s="74" t="s">
        <v>53</v>
      </c>
      <c r="D7" s="64">
        <v>148</v>
      </c>
      <c r="E7" s="64">
        <v>138</v>
      </c>
      <c r="F7" s="64">
        <v>171</v>
      </c>
      <c r="G7" s="64">
        <v>156</v>
      </c>
      <c r="H7" s="65"/>
      <c r="I7" s="65"/>
      <c r="J7" s="65"/>
      <c r="K7" s="65"/>
      <c r="L7" s="65"/>
      <c r="M7" s="65"/>
      <c r="N7" s="65"/>
      <c r="O7" s="65"/>
      <c r="P7" s="66">
        <f t="shared" si="0"/>
        <v>613</v>
      </c>
    </row>
    <row r="8" spans="1:16">
      <c r="A8" s="3">
        <v>6</v>
      </c>
      <c r="B8" s="3" t="s">
        <v>2</v>
      </c>
      <c r="C8" s="74" t="s">
        <v>54</v>
      </c>
      <c r="D8" s="64">
        <v>94</v>
      </c>
      <c r="E8" s="64">
        <v>92</v>
      </c>
      <c r="F8" s="64">
        <v>98</v>
      </c>
      <c r="G8" s="64">
        <v>129</v>
      </c>
      <c r="H8" s="65"/>
      <c r="I8" s="65"/>
      <c r="J8" s="65"/>
      <c r="K8" s="65"/>
      <c r="L8" s="65"/>
      <c r="M8" s="65"/>
      <c r="N8" s="65"/>
      <c r="O8" s="65"/>
      <c r="P8" s="66">
        <f t="shared" si="0"/>
        <v>413</v>
      </c>
    </row>
    <row r="9" spans="1:16">
      <c r="A9" s="3">
        <v>7</v>
      </c>
      <c r="B9" s="3" t="s">
        <v>2</v>
      </c>
      <c r="C9" s="74" t="s">
        <v>55</v>
      </c>
      <c r="D9" s="64">
        <v>83</v>
      </c>
      <c r="E9" s="64">
        <v>89</v>
      </c>
      <c r="F9" s="64">
        <v>92</v>
      </c>
      <c r="G9" s="64">
        <v>100</v>
      </c>
      <c r="H9" s="65"/>
      <c r="I9" s="65"/>
      <c r="J9" s="65"/>
      <c r="K9" s="65"/>
      <c r="L9" s="65"/>
      <c r="M9" s="65"/>
      <c r="N9" s="65"/>
      <c r="O9" s="65"/>
      <c r="P9" s="66">
        <f t="shared" si="0"/>
        <v>364</v>
      </c>
    </row>
    <row r="10" spans="1:16">
      <c r="A10" s="3">
        <v>8</v>
      </c>
      <c r="B10" s="3" t="s">
        <v>2</v>
      </c>
      <c r="C10" s="74" t="s">
        <v>56</v>
      </c>
      <c r="D10" s="64">
        <v>87</v>
      </c>
      <c r="E10" s="64">
        <v>85</v>
      </c>
      <c r="F10" s="64">
        <v>85</v>
      </c>
      <c r="G10" s="64">
        <v>84</v>
      </c>
      <c r="H10" s="65"/>
      <c r="I10" s="65"/>
      <c r="J10" s="65"/>
      <c r="K10" s="65"/>
      <c r="L10" s="65"/>
      <c r="M10" s="65"/>
      <c r="N10" s="65"/>
      <c r="O10" s="65"/>
      <c r="P10" s="66">
        <f t="shared" si="0"/>
        <v>341</v>
      </c>
    </row>
    <row r="11" spans="1:16">
      <c r="A11" s="3">
        <v>9</v>
      </c>
      <c r="B11" s="3" t="s">
        <v>2</v>
      </c>
      <c r="C11" s="74" t="s">
        <v>57</v>
      </c>
      <c r="D11" s="64">
        <v>56</v>
      </c>
      <c r="E11" s="64">
        <v>70</v>
      </c>
      <c r="F11" s="64">
        <v>68</v>
      </c>
      <c r="G11" s="64">
        <v>94</v>
      </c>
      <c r="H11" s="65"/>
      <c r="I11" s="65"/>
      <c r="J11" s="65"/>
      <c r="K11" s="65"/>
      <c r="L11" s="65"/>
      <c r="M11" s="65"/>
      <c r="N11" s="65"/>
      <c r="O11" s="65"/>
      <c r="P11" s="66">
        <f t="shared" si="0"/>
        <v>288</v>
      </c>
    </row>
    <row r="12" spans="1:16">
      <c r="A12" s="3">
        <v>10</v>
      </c>
      <c r="B12" s="3" t="s">
        <v>2</v>
      </c>
      <c r="C12" s="74" t="s">
        <v>58</v>
      </c>
      <c r="D12" s="64">
        <v>60</v>
      </c>
      <c r="E12" s="64">
        <v>36</v>
      </c>
      <c r="F12" s="64">
        <v>53</v>
      </c>
      <c r="G12" s="64">
        <v>48</v>
      </c>
      <c r="H12" s="65"/>
      <c r="I12" s="65"/>
      <c r="J12" s="65"/>
      <c r="K12" s="65"/>
      <c r="L12" s="65"/>
      <c r="M12" s="65"/>
      <c r="N12" s="65"/>
      <c r="O12" s="65"/>
      <c r="P12" s="66">
        <f t="shared" si="0"/>
        <v>197</v>
      </c>
    </row>
    <row r="13" spans="1:16">
      <c r="A13" s="3">
        <v>11</v>
      </c>
      <c r="B13" s="3" t="s">
        <v>2</v>
      </c>
      <c r="C13" s="74" t="s">
        <v>59</v>
      </c>
      <c r="D13" s="64">
        <v>60</v>
      </c>
      <c r="E13" s="64">
        <v>36</v>
      </c>
      <c r="F13" s="64">
        <v>54</v>
      </c>
      <c r="G13" s="64">
        <v>32</v>
      </c>
      <c r="H13" s="65"/>
      <c r="I13" s="65"/>
      <c r="J13" s="65"/>
      <c r="K13" s="65"/>
      <c r="L13" s="65"/>
      <c r="M13" s="65"/>
      <c r="N13" s="65"/>
      <c r="O13" s="65"/>
      <c r="P13" s="66">
        <f t="shared" si="0"/>
        <v>182</v>
      </c>
    </row>
    <row r="14" spans="1:16">
      <c r="A14" s="3">
        <v>12</v>
      </c>
      <c r="B14" s="3" t="s">
        <v>2</v>
      </c>
      <c r="C14" s="74" t="s">
        <v>60</v>
      </c>
      <c r="D14" s="64">
        <v>48</v>
      </c>
      <c r="E14" s="64">
        <v>34</v>
      </c>
      <c r="F14" s="64">
        <v>44</v>
      </c>
      <c r="G14" s="64">
        <v>38</v>
      </c>
      <c r="H14" s="65"/>
      <c r="I14" s="65"/>
      <c r="J14" s="65"/>
      <c r="K14" s="65"/>
      <c r="L14" s="65"/>
      <c r="M14" s="65"/>
      <c r="N14" s="65"/>
      <c r="O14" s="65"/>
      <c r="P14" s="66">
        <f t="shared" si="0"/>
        <v>164</v>
      </c>
    </row>
    <row r="15" spans="1:16">
      <c r="A15" s="3">
        <v>13</v>
      </c>
      <c r="B15" s="3" t="s">
        <v>2</v>
      </c>
      <c r="C15" s="74" t="s">
        <v>61</v>
      </c>
      <c r="D15" s="64">
        <v>37</v>
      </c>
      <c r="E15" s="64">
        <v>41</v>
      </c>
      <c r="F15" s="64">
        <v>31</v>
      </c>
      <c r="G15" s="64">
        <v>28</v>
      </c>
      <c r="H15" s="65"/>
      <c r="I15" s="65"/>
      <c r="J15" s="65"/>
      <c r="K15" s="65"/>
      <c r="L15" s="65"/>
      <c r="M15" s="65"/>
      <c r="N15" s="65"/>
      <c r="O15" s="65"/>
      <c r="P15" s="66">
        <f t="shared" si="0"/>
        <v>137</v>
      </c>
    </row>
    <row r="16" spans="1:16">
      <c r="A16" s="3">
        <v>14</v>
      </c>
      <c r="B16" s="3" t="s">
        <v>2</v>
      </c>
      <c r="C16" s="74" t="s">
        <v>62</v>
      </c>
      <c r="D16" s="64">
        <v>31</v>
      </c>
      <c r="E16" s="64">
        <v>36</v>
      </c>
      <c r="F16" s="64">
        <v>26</v>
      </c>
      <c r="G16" s="64">
        <v>30</v>
      </c>
      <c r="H16" s="65"/>
      <c r="I16" s="65"/>
      <c r="J16" s="65"/>
      <c r="K16" s="65"/>
      <c r="L16" s="65"/>
      <c r="M16" s="65"/>
      <c r="N16" s="65"/>
      <c r="O16" s="65"/>
      <c r="P16" s="66">
        <f t="shared" si="0"/>
        <v>123</v>
      </c>
    </row>
    <row r="17" spans="1:16">
      <c r="A17" s="3">
        <v>15</v>
      </c>
      <c r="B17" s="3" t="s">
        <v>2</v>
      </c>
      <c r="C17" s="74" t="s">
        <v>63</v>
      </c>
      <c r="D17" s="64">
        <v>22</v>
      </c>
      <c r="E17" s="64">
        <v>24</v>
      </c>
      <c r="F17" s="64">
        <v>29</v>
      </c>
      <c r="G17" s="64">
        <v>26</v>
      </c>
      <c r="H17" s="65"/>
      <c r="I17" s="65"/>
      <c r="J17" s="65"/>
      <c r="K17" s="65"/>
      <c r="L17" s="65"/>
      <c r="M17" s="65"/>
      <c r="N17" s="65"/>
      <c r="O17" s="65"/>
      <c r="P17" s="66">
        <f t="shared" si="0"/>
        <v>101</v>
      </c>
    </row>
    <row r="18" spans="1:16">
      <c r="A18" s="3">
        <v>16</v>
      </c>
      <c r="B18" s="3" t="s">
        <v>2</v>
      </c>
      <c r="C18" s="74" t="s">
        <v>64</v>
      </c>
      <c r="D18" s="64">
        <v>1</v>
      </c>
      <c r="E18" s="64">
        <v>6</v>
      </c>
      <c r="F18" s="64">
        <v>60</v>
      </c>
      <c r="G18" s="64">
        <v>39</v>
      </c>
      <c r="H18" s="65"/>
      <c r="I18" s="65"/>
      <c r="J18" s="65"/>
      <c r="K18" s="65"/>
      <c r="L18" s="65"/>
      <c r="M18" s="65"/>
      <c r="N18" s="65"/>
      <c r="O18" s="65"/>
      <c r="P18" s="66">
        <f t="shared" si="0"/>
        <v>106</v>
      </c>
    </row>
    <row r="19" spans="1:16">
      <c r="A19" s="3">
        <v>17</v>
      </c>
      <c r="B19" s="3" t="s">
        <v>2</v>
      </c>
      <c r="C19" s="74" t="s">
        <v>65</v>
      </c>
      <c r="D19" s="64">
        <v>22</v>
      </c>
      <c r="E19" s="64">
        <v>29</v>
      </c>
      <c r="F19" s="64">
        <v>27</v>
      </c>
      <c r="G19" s="64">
        <v>28</v>
      </c>
      <c r="H19" s="65"/>
      <c r="I19" s="65"/>
      <c r="J19" s="65"/>
      <c r="K19" s="65"/>
      <c r="L19" s="65"/>
      <c r="M19" s="65"/>
      <c r="N19" s="65"/>
      <c r="O19" s="65"/>
      <c r="P19" s="66">
        <f t="shared" si="0"/>
        <v>106</v>
      </c>
    </row>
    <row r="20" spans="1:16">
      <c r="A20" s="3">
        <v>18</v>
      </c>
      <c r="B20" s="3" t="s">
        <v>2</v>
      </c>
      <c r="C20" s="74" t="s">
        <v>66</v>
      </c>
      <c r="D20" s="64">
        <v>20</v>
      </c>
      <c r="E20" s="64">
        <v>21</v>
      </c>
      <c r="F20" s="64">
        <v>19</v>
      </c>
      <c r="G20" s="64">
        <v>24</v>
      </c>
      <c r="H20" s="65"/>
      <c r="I20" s="65"/>
      <c r="J20" s="65"/>
      <c r="K20" s="65"/>
      <c r="L20" s="65"/>
      <c r="M20" s="65"/>
      <c r="N20" s="65"/>
      <c r="O20" s="65"/>
      <c r="P20" s="66">
        <f t="shared" si="0"/>
        <v>84</v>
      </c>
    </row>
    <row r="21" spans="1:16">
      <c r="A21" s="3">
        <v>19</v>
      </c>
      <c r="B21" s="3" t="s">
        <v>2</v>
      </c>
      <c r="C21" s="74" t="s">
        <v>67</v>
      </c>
      <c r="D21" s="64">
        <v>17</v>
      </c>
      <c r="E21" s="64">
        <v>19</v>
      </c>
      <c r="F21" s="64">
        <v>19</v>
      </c>
      <c r="G21" s="64">
        <v>20</v>
      </c>
      <c r="H21" s="65"/>
      <c r="I21" s="65"/>
      <c r="J21" s="65"/>
      <c r="K21" s="65"/>
      <c r="L21" s="65"/>
      <c r="M21" s="65"/>
      <c r="N21" s="65"/>
      <c r="O21" s="65"/>
      <c r="P21" s="66">
        <f t="shared" si="0"/>
        <v>75</v>
      </c>
    </row>
    <row r="22" spans="1:16">
      <c r="A22" s="3">
        <v>20</v>
      </c>
      <c r="B22" s="3" t="s">
        <v>2</v>
      </c>
      <c r="C22" s="74" t="s">
        <v>68</v>
      </c>
      <c r="D22" s="64">
        <v>13</v>
      </c>
      <c r="E22" s="64">
        <v>28</v>
      </c>
      <c r="F22" s="64">
        <v>23</v>
      </c>
      <c r="G22" s="64">
        <v>16</v>
      </c>
      <c r="H22" s="65"/>
      <c r="I22" s="65"/>
      <c r="J22" s="65"/>
      <c r="K22" s="65"/>
      <c r="L22" s="65"/>
      <c r="M22" s="65"/>
      <c r="N22" s="65"/>
      <c r="O22" s="65"/>
      <c r="P22" s="66">
        <f t="shared" si="0"/>
        <v>80</v>
      </c>
    </row>
    <row r="23" spans="1:16">
      <c r="A23" s="3">
        <v>21</v>
      </c>
      <c r="B23" s="3" t="s">
        <v>2</v>
      </c>
      <c r="C23" s="74" t="s">
        <v>69</v>
      </c>
      <c r="D23" s="64">
        <v>22</v>
      </c>
      <c r="E23" s="64">
        <v>17</v>
      </c>
      <c r="F23" s="64">
        <v>18</v>
      </c>
      <c r="G23" s="64">
        <v>18</v>
      </c>
      <c r="H23" s="65"/>
      <c r="I23" s="65"/>
      <c r="J23" s="65"/>
      <c r="K23" s="65"/>
      <c r="L23" s="65"/>
      <c r="M23" s="65"/>
      <c r="N23" s="65"/>
      <c r="O23" s="65"/>
      <c r="P23" s="66">
        <f t="shared" si="0"/>
        <v>75</v>
      </c>
    </row>
    <row r="24" spans="1:16">
      <c r="A24" s="3">
        <v>22</v>
      </c>
      <c r="B24" s="3" t="s">
        <v>2</v>
      </c>
      <c r="C24" s="74" t="s">
        <v>70</v>
      </c>
      <c r="D24" s="64">
        <v>26</v>
      </c>
      <c r="E24" s="64">
        <v>24</v>
      </c>
      <c r="F24" s="64">
        <v>16</v>
      </c>
      <c r="G24" s="64">
        <v>11</v>
      </c>
      <c r="H24" s="65"/>
      <c r="I24" s="65"/>
      <c r="J24" s="65"/>
      <c r="K24" s="65"/>
      <c r="L24" s="65"/>
      <c r="M24" s="65"/>
      <c r="N24" s="65"/>
      <c r="O24" s="65"/>
      <c r="P24" s="66">
        <f t="shared" si="0"/>
        <v>77</v>
      </c>
    </row>
    <row r="25" spans="1:16">
      <c r="A25" s="3">
        <v>23</v>
      </c>
      <c r="B25" s="3" t="s">
        <v>2</v>
      </c>
      <c r="C25" s="74" t="s">
        <v>71</v>
      </c>
      <c r="D25" s="64">
        <v>18</v>
      </c>
      <c r="E25" s="64">
        <v>12</v>
      </c>
      <c r="F25" s="64">
        <v>12</v>
      </c>
      <c r="G25" s="64">
        <v>27</v>
      </c>
      <c r="H25" s="65"/>
      <c r="I25" s="65"/>
      <c r="J25" s="65"/>
      <c r="K25" s="65"/>
      <c r="L25" s="65"/>
      <c r="M25" s="65"/>
      <c r="N25" s="65"/>
      <c r="O25" s="65"/>
      <c r="P25" s="66">
        <f t="shared" si="0"/>
        <v>69</v>
      </c>
    </row>
    <row r="26" spans="1:16">
      <c r="A26" s="3">
        <v>24</v>
      </c>
      <c r="B26" s="3" t="s">
        <v>2</v>
      </c>
      <c r="C26" s="74" t="s">
        <v>72</v>
      </c>
      <c r="D26" s="64">
        <v>12</v>
      </c>
      <c r="E26" s="64">
        <v>16</v>
      </c>
      <c r="F26" s="64">
        <v>11</v>
      </c>
      <c r="G26" s="64">
        <v>15</v>
      </c>
      <c r="H26" s="65"/>
      <c r="I26" s="65"/>
      <c r="J26" s="65"/>
      <c r="K26" s="65"/>
      <c r="L26" s="65"/>
      <c r="M26" s="65"/>
      <c r="N26" s="65"/>
      <c r="O26" s="65"/>
      <c r="P26" s="66">
        <f t="shared" si="0"/>
        <v>54</v>
      </c>
    </row>
    <row r="27" spans="1:16">
      <c r="A27" s="3">
        <v>25</v>
      </c>
      <c r="B27" s="3" t="s">
        <v>2</v>
      </c>
      <c r="C27" s="74" t="s">
        <v>73</v>
      </c>
      <c r="D27" s="64">
        <v>6</v>
      </c>
      <c r="E27" s="64">
        <v>11</v>
      </c>
      <c r="F27" s="64">
        <v>17</v>
      </c>
      <c r="G27" s="64">
        <v>17</v>
      </c>
      <c r="H27" s="65"/>
      <c r="I27" s="65"/>
      <c r="J27" s="65"/>
      <c r="K27" s="65"/>
      <c r="L27" s="65"/>
      <c r="M27" s="65"/>
      <c r="N27" s="65"/>
      <c r="O27" s="65"/>
      <c r="P27" s="66">
        <f t="shared" si="0"/>
        <v>51</v>
      </c>
    </row>
    <row r="28" spans="1:16">
      <c r="A28" s="3">
        <v>26</v>
      </c>
      <c r="B28" s="3" t="s">
        <v>2</v>
      </c>
      <c r="C28" s="74" t="s">
        <v>74</v>
      </c>
      <c r="D28" s="64">
        <v>16</v>
      </c>
      <c r="E28" s="64">
        <v>17</v>
      </c>
      <c r="F28" s="64">
        <v>12</v>
      </c>
      <c r="G28" s="64">
        <v>5</v>
      </c>
      <c r="H28" s="65"/>
      <c r="I28" s="65"/>
      <c r="J28" s="65"/>
      <c r="K28" s="65"/>
      <c r="L28" s="65"/>
      <c r="M28" s="65"/>
      <c r="N28" s="65"/>
      <c r="O28" s="65"/>
      <c r="P28" s="66">
        <f t="shared" si="0"/>
        <v>50</v>
      </c>
    </row>
    <row r="29" spans="1:16">
      <c r="A29" s="3">
        <v>27</v>
      </c>
      <c r="B29" s="3" t="s">
        <v>2</v>
      </c>
      <c r="C29" s="74" t="s">
        <v>75</v>
      </c>
      <c r="D29" s="64">
        <v>8</v>
      </c>
      <c r="E29" s="64">
        <v>15</v>
      </c>
      <c r="F29" s="64">
        <v>9</v>
      </c>
      <c r="G29" s="64">
        <v>17</v>
      </c>
      <c r="H29" s="65"/>
      <c r="I29" s="65"/>
      <c r="J29" s="65"/>
      <c r="K29" s="65"/>
      <c r="L29" s="65"/>
      <c r="M29" s="65"/>
      <c r="N29" s="65"/>
      <c r="O29" s="65"/>
      <c r="P29" s="66">
        <f t="shared" si="0"/>
        <v>49</v>
      </c>
    </row>
    <row r="30" spans="1:16">
      <c r="A30" s="3">
        <v>28</v>
      </c>
      <c r="B30" s="3" t="s">
        <v>2</v>
      </c>
      <c r="C30" s="74" t="s">
        <v>76</v>
      </c>
      <c r="D30" s="64">
        <v>10</v>
      </c>
      <c r="E30" s="64">
        <v>10</v>
      </c>
      <c r="F30" s="64">
        <v>12</v>
      </c>
      <c r="G30" s="64">
        <v>15</v>
      </c>
      <c r="H30" s="65"/>
      <c r="I30" s="65"/>
      <c r="J30" s="65"/>
      <c r="K30" s="65"/>
      <c r="L30" s="65"/>
      <c r="M30" s="65"/>
      <c r="N30" s="65"/>
      <c r="O30" s="65"/>
      <c r="P30" s="66">
        <f t="shared" si="0"/>
        <v>47</v>
      </c>
    </row>
    <row r="31" spans="1:16">
      <c r="A31" s="3">
        <v>29</v>
      </c>
      <c r="B31" s="3" t="s">
        <v>2</v>
      </c>
      <c r="C31" s="74" t="s">
        <v>77</v>
      </c>
      <c r="D31" s="64">
        <v>10</v>
      </c>
      <c r="E31" s="64">
        <v>12</v>
      </c>
      <c r="F31" s="64">
        <v>17</v>
      </c>
      <c r="G31" s="64">
        <v>5</v>
      </c>
      <c r="H31" s="65"/>
      <c r="I31" s="65"/>
      <c r="J31" s="65"/>
      <c r="K31" s="65"/>
      <c r="L31" s="65"/>
      <c r="M31" s="65"/>
      <c r="N31" s="65"/>
      <c r="O31" s="65"/>
      <c r="P31" s="66">
        <f t="shared" si="0"/>
        <v>44</v>
      </c>
    </row>
    <row r="32" spans="1:16">
      <c r="A32" s="3">
        <v>30</v>
      </c>
      <c r="B32" s="3" t="s">
        <v>2</v>
      </c>
      <c r="C32" s="74" t="s">
        <v>78</v>
      </c>
      <c r="D32" s="64">
        <v>17</v>
      </c>
      <c r="E32" s="64">
        <v>11</v>
      </c>
      <c r="F32" s="64">
        <v>8</v>
      </c>
      <c r="G32" s="64">
        <v>7</v>
      </c>
      <c r="H32" s="65"/>
      <c r="I32" s="65"/>
      <c r="J32" s="65"/>
      <c r="K32" s="65"/>
      <c r="L32" s="65"/>
      <c r="M32" s="65"/>
      <c r="N32" s="65"/>
      <c r="O32" s="65"/>
      <c r="P32" s="66">
        <f t="shared" si="0"/>
        <v>43</v>
      </c>
    </row>
    <row r="33" spans="1:16">
      <c r="A33" s="3">
        <v>31</v>
      </c>
      <c r="B33" s="3" t="s">
        <v>2</v>
      </c>
      <c r="C33" s="74" t="s">
        <v>79</v>
      </c>
      <c r="D33" s="64">
        <v>12</v>
      </c>
      <c r="E33" s="64">
        <v>12</v>
      </c>
      <c r="F33" s="64">
        <v>10</v>
      </c>
      <c r="G33" s="64">
        <v>8</v>
      </c>
      <c r="H33" s="65"/>
      <c r="I33" s="65"/>
      <c r="J33" s="65"/>
      <c r="K33" s="65"/>
      <c r="L33" s="65"/>
      <c r="M33" s="65"/>
      <c r="N33" s="65"/>
      <c r="O33" s="65"/>
      <c r="P33" s="66">
        <f t="shared" si="0"/>
        <v>42</v>
      </c>
    </row>
    <row r="34" spans="1:16">
      <c r="A34" s="3">
        <v>32</v>
      </c>
      <c r="B34" s="3" t="s">
        <v>2</v>
      </c>
      <c r="C34" s="74" t="s">
        <v>80</v>
      </c>
      <c r="D34" s="64">
        <v>9</v>
      </c>
      <c r="E34" s="64">
        <v>8</v>
      </c>
      <c r="F34" s="64">
        <v>10</v>
      </c>
      <c r="G34" s="64">
        <v>11</v>
      </c>
      <c r="H34" s="65"/>
      <c r="I34" s="65"/>
      <c r="J34" s="65"/>
      <c r="K34" s="65"/>
      <c r="L34" s="65"/>
      <c r="M34" s="65"/>
      <c r="N34" s="65"/>
      <c r="O34" s="65"/>
      <c r="P34" s="66">
        <f t="shared" si="0"/>
        <v>38</v>
      </c>
    </row>
    <row r="35" spans="1:16">
      <c r="A35" s="3">
        <v>33</v>
      </c>
      <c r="B35" s="3" t="s">
        <v>2</v>
      </c>
      <c r="C35" s="74" t="s">
        <v>81</v>
      </c>
      <c r="D35" s="64">
        <v>6</v>
      </c>
      <c r="E35" s="64">
        <v>7</v>
      </c>
      <c r="F35" s="64">
        <v>10</v>
      </c>
      <c r="G35" s="64">
        <v>15</v>
      </c>
      <c r="H35" s="65"/>
      <c r="I35" s="65"/>
      <c r="J35" s="65"/>
      <c r="K35" s="65"/>
      <c r="L35" s="65"/>
      <c r="M35" s="65"/>
      <c r="N35" s="65"/>
      <c r="O35" s="65"/>
      <c r="P35" s="66">
        <f t="shared" si="0"/>
        <v>38</v>
      </c>
    </row>
    <row r="36" spans="1:16">
      <c r="A36" s="3">
        <v>34</v>
      </c>
      <c r="B36" s="3" t="s">
        <v>2</v>
      </c>
      <c r="C36" s="74" t="s">
        <v>82</v>
      </c>
      <c r="D36" s="64">
        <v>8</v>
      </c>
      <c r="E36" s="64">
        <v>7</v>
      </c>
      <c r="F36" s="64">
        <v>9</v>
      </c>
      <c r="G36" s="64">
        <v>12</v>
      </c>
      <c r="H36" s="65"/>
      <c r="I36" s="65"/>
      <c r="J36" s="65"/>
      <c r="K36" s="65"/>
      <c r="L36" s="65"/>
      <c r="M36" s="65"/>
      <c r="N36" s="65"/>
      <c r="O36" s="65"/>
      <c r="P36" s="66">
        <f t="shared" si="0"/>
        <v>36</v>
      </c>
    </row>
    <row r="37" spans="1:16">
      <c r="A37" s="3">
        <v>35</v>
      </c>
      <c r="B37" s="3" t="s">
        <v>2</v>
      </c>
      <c r="C37" s="74" t="s">
        <v>83</v>
      </c>
      <c r="D37" s="64">
        <v>6</v>
      </c>
      <c r="E37" s="64">
        <v>11</v>
      </c>
      <c r="F37" s="64">
        <v>7</v>
      </c>
      <c r="G37" s="64">
        <v>10</v>
      </c>
      <c r="H37" s="65"/>
      <c r="I37" s="65"/>
      <c r="J37" s="65"/>
      <c r="K37" s="65"/>
      <c r="L37" s="65"/>
      <c r="M37" s="65"/>
      <c r="N37" s="65"/>
      <c r="O37" s="65"/>
      <c r="P37" s="66">
        <f t="shared" si="0"/>
        <v>34</v>
      </c>
    </row>
    <row r="38" spans="1:16">
      <c r="A38" s="3">
        <v>36</v>
      </c>
      <c r="B38" s="3" t="s">
        <v>2</v>
      </c>
      <c r="C38" s="74" t="s">
        <v>84</v>
      </c>
      <c r="D38" s="64">
        <v>8</v>
      </c>
      <c r="E38" s="64">
        <v>7</v>
      </c>
      <c r="F38" s="64">
        <v>9</v>
      </c>
      <c r="G38" s="64">
        <v>8</v>
      </c>
      <c r="H38" s="65"/>
      <c r="I38" s="65"/>
      <c r="J38" s="65"/>
      <c r="K38" s="65"/>
      <c r="L38" s="65"/>
      <c r="M38" s="65"/>
      <c r="N38" s="65"/>
      <c r="O38" s="65"/>
      <c r="P38" s="66">
        <f t="shared" si="0"/>
        <v>32</v>
      </c>
    </row>
    <row r="39" spans="1:16">
      <c r="A39" s="3">
        <v>37</v>
      </c>
      <c r="B39" s="3" t="s">
        <v>2</v>
      </c>
      <c r="C39" s="74" t="s">
        <v>85</v>
      </c>
      <c r="D39" s="64">
        <v>7</v>
      </c>
      <c r="E39" s="64">
        <v>10</v>
      </c>
      <c r="F39" s="64">
        <v>8</v>
      </c>
      <c r="G39" s="64">
        <v>5</v>
      </c>
      <c r="H39" s="65"/>
      <c r="I39" s="65"/>
      <c r="J39" s="65"/>
      <c r="K39" s="65"/>
      <c r="L39" s="65"/>
      <c r="M39" s="65"/>
      <c r="N39" s="65"/>
      <c r="O39" s="65"/>
      <c r="P39" s="66">
        <f t="shared" si="0"/>
        <v>30</v>
      </c>
    </row>
    <row r="40" spans="1:16">
      <c r="A40" s="3">
        <v>38</v>
      </c>
      <c r="B40" s="3" t="s">
        <v>2</v>
      </c>
      <c r="C40" s="74" t="s">
        <v>86</v>
      </c>
      <c r="D40" s="64">
        <v>8</v>
      </c>
      <c r="E40" s="64">
        <v>4</v>
      </c>
      <c r="F40" s="64">
        <v>10</v>
      </c>
      <c r="G40" s="64">
        <v>7</v>
      </c>
      <c r="H40" s="65"/>
      <c r="I40" s="65"/>
      <c r="J40" s="65"/>
      <c r="K40" s="65"/>
      <c r="L40" s="65"/>
      <c r="M40" s="65"/>
      <c r="N40" s="65"/>
      <c r="O40" s="65"/>
      <c r="P40" s="66">
        <f t="shared" si="0"/>
        <v>29</v>
      </c>
    </row>
    <row r="41" spans="1:16">
      <c r="A41" s="3">
        <v>39</v>
      </c>
      <c r="B41" s="3" t="s">
        <v>2</v>
      </c>
      <c r="C41" s="74" t="s">
        <v>87</v>
      </c>
      <c r="D41" s="64">
        <v>9</v>
      </c>
      <c r="E41" s="64">
        <v>12</v>
      </c>
      <c r="F41" s="64">
        <v>2</v>
      </c>
      <c r="G41" s="64">
        <v>2</v>
      </c>
      <c r="H41" s="65"/>
      <c r="I41" s="65"/>
      <c r="J41" s="65"/>
      <c r="K41" s="65"/>
      <c r="L41" s="65"/>
      <c r="M41" s="65"/>
      <c r="N41" s="65"/>
      <c r="O41" s="65"/>
      <c r="P41" s="66">
        <f t="shared" si="0"/>
        <v>25</v>
      </c>
    </row>
    <row r="42" spans="1:16">
      <c r="A42" s="3">
        <v>40</v>
      </c>
      <c r="B42" s="3" t="s">
        <v>2</v>
      </c>
      <c r="C42" s="74" t="s">
        <v>88</v>
      </c>
      <c r="D42" s="64">
        <v>5</v>
      </c>
      <c r="E42" s="64">
        <v>7</v>
      </c>
      <c r="F42" s="64">
        <v>6</v>
      </c>
      <c r="G42" s="64">
        <v>5</v>
      </c>
      <c r="H42" s="65"/>
      <c r="I42" s="65"/>
      <c r="J42" s="65"/>
      <c r="K42" s="65"/>
      <c r="L42" s="65"/>
      <c r="M42" s="65"/>
      <c r="N42" s="65"/>
      <c r="O42" s="65"/>
      <c r="P42" s="66">
        <f t="shared" si="0"/>
        <v>23</v>
      </c>
    </row>
    <row r="43" spans="1:16">
      <c r="A43" s="3">
        <v>41</v>
      </c>
      <c r="B43" s="3" t="s">
        <v>2</v>
      </c>
      <c r="C43" s="74" t="s">
        <v>89</v>
      </c>
      <c r="D43" s="64">
        <v>15</v>
      </c>
      <c r="E43" s="64">
        <v>2</v>
      </c>
      <c r="F43" s="64">
        <v>6</v>
      </c>
      <c r="G43" s="64">
        <v>1</v>
      </c>
      <c r="H43" s="65"/>
      <c r="I43" s="65"/>
      <c r="J43" s="65"/>
      <c r="K43" s="65"/>
      <c r="L43" s="65"/>
      <c r="M43" s="65"/>
      <c r="N43" s="65"/>
      <c r="O43" s="65"/>
      <c r="P43" s="66">
        <f t="shared" si="0"/>
        <v>24</v>
      </c>
    </row>
    <row r="44" spans="1:16">
      <c r="A44" s="3">
        <v>42</v>
      </c>
      <c r="B44" s="3" t="s">
        <v>2</v>
      </c>
      <c r="C44" s="74" t="s">
        <v>90</v>
      </c>
      <c r="D44" s="64">
        <v>4</v>
      </c>
      <c r="E44" s="64">
        <v>3</v>
      </c>
      <c r="F44" s="64">
        <v>7</v>
      </c>
      <c r="G44" s="64">
        <v>8</v>
      </c>
      <c r="H44" s="65"/>
      <c r="I44" s="65"/>
      <c r="J44" s="65"/>
      <c r="K44" s="65"/>
      <c r="L44" s="65"/>
      <c r="M44" s="65"/>
      <c r="N44" s="65"/>
      <c r="O44" s="65"/>
      <c r="P44" s="66">
        <f t="shared" si="0"/>
        <v>22</v>
      </c>
    </row>
    <row r="45" spans="1:16">
      <c r="A45" s="3">
        <v>43</v>
      </c>
      <c r="B45" s="3" t="s">
        <v>2</v>
      </c>
      <c r="C45" s="74" t="s">
        <v>91</v>
      </c>
      <c r="D45" s="64">
        <v>4</v>
      </c>
      <c r="E45" s="64">
        <v>5</v>
      </c>
      <c r="F45" s="64">
        <v>9</v>
      </c>
      <c r="G45" s="64">
        <v>3</v>
      </c>
      <c r="H45" s="65"/>
      <c r="I45" s="65"/>
      <c r="J45" s="65"/>
      <c r="K45" s="65"/>
      <c r="L45" s="65"/>
      <c r="M45" s="65"/>
      <c r="N45" s="65"/>
      <c r="O45" s="65"/>
      <c r="P45" s="66">
        <f t="shared" si="0"/>
        <v>21</v>
      </c>
    </row>
    <row r="46" spans="1:16">
      <c r="A46" s="3">
        <v>44</v>
      </c>
      <c r="B46" s="3" t="s">
        <v>2</v>
      </c>
      <c r="C46" s="74" t="s">
        <v>92</v>
      </c>
      <c r="D46" s="64">
        <v>6</v>
      </c>
      <c r="E46" s="64">
        <v>2</v>
      </c>
      <c r="F46" s="64">
        <v>3</v>
      </c>
      <c r="G46" s="64">
        <v>9</v>
      </c>
      <c r="H46" s="65"/>
      <c r="I46" s="65"/>
      <c r="J46" s="65"/>
      <c r="K46" s="65"/>
      <c r="L46" s="65"/>
      <c r="M46" s="65"/>
      <c r="N46" s="65"/>
      <c r="O46" s="65"/>
      <c r="P46" s="66">
        <f t="shared" si="0"/>
        <v>20</v>
      </c>
    </row>
    <row r="47" spans="1:16">
      <c r="A47" s="3">
        <v>45</v>
      </c>
      <c r="B47" s="3" t="s">
        <v>2</v>
      </c>
      <c r="C47" s="74" t="s">
        <v>93</v>
      </c>
      <c r="D47" s="64">
        <v>3</v>
      </c>
      <c r="E47" s="64">
        <v>3</v>
      </c>
      <c r="F47" s="64">
        <v>7</v>
      </c>
      <c r="G47" s="64">
        <v>6</v>
      </c>
      <c r="H47" s="65"/>
      <c r="I47" s="65"/>
      <c r="J47" s="65"/>
      <c r="K47" s="65"/>
      <c r="L47" s="65"/>
      <c r="M47" s="65"/>
      <c r="N47" s="65"/>
      <c r="O47" s="65"/>
      <c r="P47" s="66">
        <f t="shared" si="0"/>
        <v>19</v>
      </c>
    </row>
    <row r="48" spans="1:16">
      <c r="A48" s="3">
        <v>46</v>
      </c>
      <c r="B48" s="3" t="s">
        <v>2</v>
      </c>
      <c r="C48" s="74" t="s">
        <v>94</v>
      </c>
      <c r="D48" s="64">
        <v>2</v>
      </c>
      <c r="E48" s="64">
        <v>6</v>
      </c>
      <c r="F48" s="64">
        <v>4</v>
      </c>
      <c r="G48" s="64">
        <v>6</v>
      </c>
      <c r="H48" s="65"/>
      <c r="I48" s="65"/>
      <c r="J48" s="65"/>
      <c r="K48" s="65"/>
      <c r="L48" s="65"/>
      <c r="M48" s="65"/>
      <c r="N48" s="65"/>
      <c r="O48" s="65"/>
      <c r="P48" s="66">
        <f t="shared" si="0"/>
        <v>18</v>
      </c>
    </row>
    <row r="49" spans="1:16">
      <c r="A49" s="3">
        <v>47</v>
      </c>
      <c r="B49" s="3" t="s">
        <v>2</v>
      </c>
      <c r="C49" s="74" t="s">
        <v>95</v>
      </c>
      <c r="D49" s="64">
        <v>7</v>
      </c>
      <c r="E49" s="64">
        <v>3</v>
      </c>
      <c r="F49" s="64">
        <v>5</v>
      </c>
      <c r="G49" s="64">
        <v>3</v>
      </c>
      <c r="H49" s="65"/>
      <c r="I49" s="65"/>
      <c r="J49" s="65"/>
      <c r="K49" s="65"/>
      <c r="L49" s="65"/>
      <c r="M49" s="65"/>
      <c r="N49" s="65"/>
      <c r="O49" s="65"/>
      <c r="P49" s="66">
        <f t="shared" si="0"/>
        <v>18</v>
      </c>
    </row>
    <row r="50" spans="1:16">
      <c r="A50" s="3">
        <v>48</v>
      </c>
      <c r="B50" s="3" t="s">
        <v>2</v>
      </c>
      <c r="C50" s="74" t="s">
        <v>96</v>
      </c>
      <c r="D50" s="64">
        <v>5</v>
      </c>
      <c r="E50" s="64">
        <v>4</v>
      </c>
      <c r="F50" s="64">
        <v>4</v>
      </c>
      <c r="G50" s="64">
        <v>5</v>
      </c>
      <c r="H50" s="65"/>
      <c r="I50" s="65"/>
      <c r="J50" s="65"/>
      <c r="K50" s="65"/>
      <c r="L50" s="65"/>
      <c r="M50" s="65"/>
      <c r="N50" s="65"/>
      <c r="O50" s="65"/>
      <c r="P50" s="66">
        <f t="shared" si="0"/>
        <v>18</v>
      </c>
    </row>
    <row r="51" spans="1:16">
      <c r="A51" s="3">
        <v>49</v>
      </c>
      <c r="B51" s="3" t="s">
        <v>2</v>
      </c>
      <c r="C51" s="74" t="s">
        <v>97</v>
      </c>
      <c r="D51" s="64">
        <v>5</v>
      </c>
      <c r="E51" s="64">
        <v>4</v>
      </c>
      <c r="F51" s="64">
        <v>5</v>
      </c>
      <c r="G51" s="64">
        <v>3</v>
      </c>
      <c r="H51" s="65"/>
      <c r="I51" s="65"/>
      <c r="J51" s="65"/>
      <c r="K51" s="65"/>
      <c r="L51" s="65"/>
      <c r="M51" s="65"/>
      <c r="N51" s="65"/>
      <c r="O51" s="65"/>
      <c r="P51" s="66">
        <f t="shared" si="0"/>
        <v>17</v>
      </c>
    </row>
    <row r="52" spans="1:16">
      <c r="A52" s="3">
        <v>50</v>
      </c>
      <c r="B52" s="3" t="s">
        <v>2</v>
      </c>
      <c r="C52" s="74" t="s">
        <v>98</v>
      </c>
      <c r="D52" s="64">
        <v>1</v>
      </c>
      <c r="E52" s="64">
        <v>5</v>
      </c>
      <c r="F52" s="64">
        <v>4</v>
      </c>
      <c r="G52" s="64">
        <v>5</v>
      </c>
      <c r="H52" s="65"/>
      <c r="I52" s="65"/>
      <c r="J52" s="65"/>
      <c r="K52" s="65"/>
      <c r="L52" s="65"/>
      <c r="M52" s="65"/>
      <c r="N52" s="65"/>
      <c r="O52" s="65"/>
      <c r="P52" s="66">
        <f t="shared" si="0"/>
        <v>15</v>
      </c>
    </row>
    <row r="53" spans="1:16">
      <c r="A53" s="3">
        <v>51</v>
      </c>
      <c r="B53" s="3" t="s">
        <v>2</v>
      </c>
      <c r="C53" s="74" t="s">
        <v>99</v>
      </c>
      <c r="D53" s="64">
        <v>6</v>
      </c>
      <c r="E53" s="64">
        <v>2</v>
      </c>
      <c r="F53" s="64">
        <v>5</v>
      </c>
      <c r="G53" s="64"/>
      <c r="H53" s="65"/>
      <c r="I53" s="65"/>
      <c r="J53" s="65"/>
      <c r="K53" s="65"/>
      <c r="L53" s="65"/>
      <c r="M53" s="65"/>
      <c r="N53" s="65"/>
      <c r="O53" s="65"/>
      <c r="P53" s="66">
        <f t="shared" si="0"/>
        <v>13</v>
      </c>
    </row>
    <row r="54" spans="1:16">
      <c r="A54" s="3">
        <v>52</v>
      </c>
      <c r="B54" s="3" t="s">
        <v>2</v>
      </c>
      <c r="C54" s="74" t="s">
        <v>100</v>
      </c>
      <c r="D54" s="64">
        <v>3</v>
      </c>
      <c r="E54" s="64">
        <v>1</v>
      </c>
      <c r="F54" s="64">
        <v>3</v>
      </c>
      <c r="G54" s="64">
        <v>3</v>
      </c>
      <c r="H54" s="65"/>
      <c r="I54" s="65"/>
      <c r="J54" s="65"/>
      <c r="K54" s="65"/>
      <c r="L54" s="65"/>
      <c r="M54" s="65"/>
      <c r="N54" s="65"/>
      <c r="O54" s="65"/>
      <c r="P54" s="66">
        <f t="shared" si="0"/>
        <v>10</v>
      </c>
    </row>
    <row r="55" spans="1:16">
      <c r="A55" s="3">
        <v>53</v>
      </c>
      <c r="B55" s="3" t="s">
        <v>2</v>
      </c>
      <c r="C55" s="74" t="s">
        <v>101</v>
      </c>
      <c r="D55" s="64">
        <v>3</v>
      </c>
      <c r="E55" s="64">
        <v>3</v>
      </c>
      <c r="F55" s="64">
        <v>3</v>
      </c>
      <c r="G55" s="64"/>
      <c r="H55" s="65"/>
      <c r="I55" s="65"/>
      <c r="J55" s="65"/>
      <c r="K55" s="65"/>
      <c r="L55" s="65"/>
      <c r="M55" s="65"/>
      <c r="N55" s="65"/>
      <c r="O55" s="65"/>
      <c r="P55" s="66">
        <f t="shared" si="0"/>
        <v>9</v>
      </c>
    </row>
    <row r="56" spans="1:16">
      <c r="A56" s="3">
        <v>54</v>
      </c>
      <c r="B56" s="3" t="s">
        <v>2</v>
      </c>
      <c r="C56" s="74" t="s">
        <v>102</v>
      </c>
      <c r="D56" s="64">
        <v>2</v>
      </c>
      <c r="E56" s="64">
        <v>1</v>
      </c>
      <c r="F56" s="64"/>
      <c r="G56" s="64">
        <v>6</v>
      </c>
      <c r="H56" s="65"/>
      <c r="I56" s="65"/>
      <c r="J56" s="65"/>
      <c r="K56" s="65"/>
      <c r="L56" s="65"/>
      <c r="M56" s="65"/>
      <c r="N56" s="65"/>
      <c r="O56" s="65"/>
      <c r="P56" s="66">
        <f t="shared" si="0"/>
        <v>9</v>
      </c>
    </row>
    <row r="57" spans="1:16">
      <c r="A57" s="3">
        <v>55</v>
      </c>
      <c r="B57" s="3" t="s">
        <v>2</v>
      </c>
      <c r="C57" s="74" t="s">
        <v>103</v>
      </c>
      <c r="D57" s="64">
        <v>4</v>
      </c>
      <c r="E57" s="64">
        <v>1</v>
      </c>
      <c r="F57" s="64">
        <v>1</v>
      </c>
      <c r="G57" s="64">
        <v>2</v>
      </c>
      <c r="H57" s="65"/>
      <c r="I57" s="65"/>
      <c r="J57" s="65"/>
      <c r="K57" s="65"/>
      <c r="L57" s="65"/>
      <c r="M57" s="65"/>
      <c r="N57" s="65"/>
      <c r="O57" s="65"/>
      <c r="P57" s="66">
        <f t="shared" si="0"/>
        <v>8</v>
      </c>
    </row>
    <row r="58" spans="1:16">
      <c r="A58" s="3">
        <v>56</v>
      </c>
      <c r="B58" s="3" t="s">
        <v>2</v>
      </c>
      <c r="C58" s="74" t="s">
        <v>104</v>
      </c>
      <c r="D58" s="64"/>
      <c r="E58" s="64">
        <v>2</v>
      </c>
      <c r="F58" s="64">
        <v>5</v>
      </c>
      <c r="G58" s="64">
        <v>1</v>
      </c>
      <c r="H58" s="65"/>
      <c r="I58" s="65"/>
      <c r="J58" s="65"/>
      <c r="K58" s="65"/>
      <c r="L58" s="65"/>
      <c r="M58" s="65"/>
      <c r="N58" s="65"/>
      <c r="O58" s="65"/>
      <c r="P58" s="66">
        <f t="shared" si="0"/>
        <v>8</v>
      </c>
    </row>
    <row r="59" spans="1:16">
      <c r="A59" s="3">
        <v>57</v>
      </c>
      <c r="B59" s="3" t="s">
        <v>2</v>
      </c>
      <c r="C59" s="74" t="s">
        <v>105</v>
      </c>
      <c r="D59" s="64">
        <v>1</v>
      </c>
      <c r="E59" s="64">
        <v>1</v>
      </c>
      <c r="F59" s="64">
        <v>1</v>
      </c>
      <c r="G59" s="64">
        <v>4</v>
      </c>
      <c r="H59" s="65"/>
      <c r="I59" s="65"/>
      <c r="J59" s="65"/>
      <c r="K59" s="65"/>
      <c r="L59" s="65"/>
      <c r="M59" s="65"/>
      <c r="N59" s="65"/>
      <c r="O59" s="65"/>
      <c r="P59" s="66">
        <f t="shared" si="0"/>
        <v>7</v>
      </c>
    </row>
    <row r="60" spans="1:16">
      <c r="A60" s="3">
        <v>58</v>
      </c>
      <c r="B60" s="3" t="s">
        <v>2</v>
      </c>
      <c r="C60" s="74" t="s">
        <v>106</v>
      </c>
      <c r="D60" s="64">
        <v>2</v>
      </c>
      <c r="E60" s="64">
        <v>2</v>
      </c>
      <c r="F60" s="64">
        <v>2</v>
      </c>
      <c r="G60" s="64">
        <v>1</v>
      </c>
      <c r="H60" s="65"/>
      <c r="I60" s="65"/>
      <c r="J60" s="65"/>
      <c r="K60" s="65"/>
      <c r="L60" s="65"/>
      <c r="M60" s="65"/>
      <c r="N60" s="65"/>
      <c r="O60" s="65"/>
      <c r="P60" s="66">
        <f t="shared" si="0"/>
        <v>7</v>
      </c>
    </row>
    <row r="61" spans="1:16">
      <c r="A61" s="3">
        <v>59</v>
      </c>
      <c r="B61" s="3" t="s">
        <v>2</v>
      </c>
      <c r="C61" s="74" t="s">
        <v>107</v>
      </c>
      <c r="D61" s="64">
        <v>1</v>
      </c>
      <c r="E61" s="64">
        <v>1</v>
      </c>
      <c r="F61" s="64">
        <v>2</v>
      </c>
      <c r="G61" s="64">
        <v>1</v>
      </c>
      <c r="H61" s="65"/>
      <c r="I61" s="65"/>
      <c r="J61" s="65"/>
      <c r="K61" s="65"/>
      <c r="L61" s="65"/>
      <c r="M61" s="65"/>
      <c r="N61" s="65"/>
      <c r="O61" s="65"/>
      <c r="P61" s="66">
        <f t="shared" si="0"/>
        <v>5</v>
      </c>
    </row>
    <row r="62" spans="1:16">
      <c r="A62" s="3">
        <v>60</v>
      </c>
      <c r="B62" s="3" t="s">
        <v>2</v>
      </c>
      <c r="C62" s="74" t="s">
        <v>108</v>
      </c>
      <c r="D62" s="64"/>
      <c r="E62" s="64">
        <v>2</v>
      </c>
      <c r="F62" s="64">
        <v>2</v>
      </c>
      <c r="G62" s="64">
        <v>2</v>
      </c>
      <c r="H62" s="65"/>
      <c r="I62" s="65"/>
      <c r="J62" s="65"/>
      <c r="K62" s="65"/>
      <c r="L62" s="65"/>
      <c r="M62" s="65"/>
      <c r="N62" s="65"/>
      <c r="O62" s="65"/>
      <c r="P62" s="66">
        <f t="shared" si="0"/>
        <v>6</v>
      </c>
    </row>
    <row r="63" spans="1:16">
      <c r="A63" s="3">
        <v>61</v>
      </c>
      <c r="B63" s="3" t="s">
        <v>2</v>
      </c>
      <c r="C63" s="74" t="s">
        <v>109</v>
      </c>
      <c r="D63" s="64">
        <v>1</v>
      </c>
      <c r="E63" s="64">
        <v>3</v>
      </c>
      <c r="F63" s="64">
        <v>1</v>
      </c>
      <c r="G63" s="64">
        <v>1</v>
      </c>
      <c r="H63" s="65"/>
      <c r="I63" s="65"/>
      <c r="J63" s="65"/>
      <c r="K63" s="65"/>
      <c r="L63" s="65"/>
      <c r="M63" s="65"/>
      <c r="N63" s="65"/>
      <c r="O63" s="65"/>
      <c r="P63" s="66">
        <f t="shared" si="0"/>
        <v>6</v>
      </c>
    </row>
    <row r="64" spans="1:16">
      <c r="A64" s="3">
        <v>62</v>
      </c>
      <c r="B64" s="3" t="s">
        <v>2</v>
      </c>
      <c r="C64" s="74" t="s">
        <v>110</v>
      </c>
      <c r="D64" s="64">
        <v>2</v>
      </c>
      <c r="E64" s="64">
        <v>1</v>
      </c>
      <c r="F64" s="64">
        <v>2</v>
      </c>
      <c r="G64" s="64"/>
      <c r="H64" s="65"/>
      <c r="I64" s="65"/>
      <c r="J64" s="65"/>
      <c r="K64" s="65"/>
      <c r="L64" s="65"/>
      <c r="M64" s="65"/>
      <c r="N64" s="65"/>
      <c r="O64" s="65"/>
      <c r="P64" s="66">
        <f t="shared" si="0"/>
        <v>5</v>
      </c>
    </row>
    <row r="65" spans="1:16">
      <c r="A65" s="3">
        <v>63</v>
      </c>
      <c r="B65" s="3" t="s">
        <v>2</v>
      </c>
      <c r="C65" s="74" t="s">
        <v>111</v>
      </c>
      <c r="D65" s="64">
        <v>2</v>
      </c>
      <c r="E65" s="64">
        <v>1</v>
      </c>
      <c r="F65" s="64">
        <v>2</v>
      </c>
      <c r="G65" s="64"/>
      <c r="H65" s="65"/>
      <c r="I65" s="65"/>
      <c r="J65" s="65"/>
      <c r="K65" s="65"/>
      <c r="L65" s="65"/>
      <c r="M65" s="65"/>
      <c r="N65" s="65"/>
      <c r="O65" s="65"/>
      <c r="P65" s="66">
        <f t="shared" si="0"/>
        <v>5</v>
      </c>
    </row>
    <row r="66" spans="1:16">
      <c r="A66" s="3">
        <v>64</v>
      </c>
      <c r="B66" s="3" t="s">
        <v>2</v>
      </c>
      <c r="C66" s="74" t="s">
        <v>112</v>
      </c>
      <c r="D66" s="64">
        <v>1</v>
      </c>
      <c r="E66" s="64">
        <v>2</v>
      </c>
      <c r="F66" s="64">
        <v>1</v>
      </c>
      <c r="G66" s="64">
        <v>1</v>
      </c>
      <c r="H66" s="65"/>
      <c r="I66" s="65"/>
      <c r="J66" s="65"/>
      <c r="K66" s="65"/>
      <c r="L66" s="65"/>
      <c r="M66" s="65"/>
      <c r="N66" s="65"/>
      <c r="O66" s="65"/>
      <c r="P66" s="66">
        <f t="shared" si="0"/>
        <v>5</v>
      </c>
    </row>
    <row r="67" spans="1:16">
      <c r="A67" s="3">
        <v>65</v>
      </c>
      <c r="B67" s="3" t="s">
        <v>2</v>
      </c>
      <c r="C67" s="74" t="s">
        <v>113</v>
      </c>
      <c r="D67" s="64">
        <v>2</v>
      </c>
      <c r="E67" s="64"/>
      <c r="F67" s="64"/>
      <c r="G67" s="64">
        <v>1</v>
      </c>
      <c r="H67" s="65"/>
      <c r="I67" s="65"/>
      <c r="J67" s="65"/>
      <c r="K67" s="65"/>
      <c r="L67" s="65"/>
      <c r="M67" s="65"/>
      <c r="N67" s="65"/>
      <c r="O67" s="65"/>
      <c r="P67" s="66">
        <f t="shared" si="0"/>
        <v>3</v>
      </c>
    </row>
    <row r="68" spans="1:16">
      <c r="A68" s="3">
        <v>66</v>
      </c>
      <c r="B68" s="3" t="s">
        <v>2</v>
      </c>
      <c r="C68" s="74" t="s">
        <v>114</v>
      </c>
      <c r="D68" s="64">
        <v>1</v>
      </c>
      <c r="E68" s="64">
        <v>1</v>
      </c>
      <c r="F68" s="64">
        <v>1</v>
      </c>
      <c r="G68" s="64">
        <v>1</v>
      </c>
      <c r="H68" s="65"/>
      <c r="I68" s="65"/>
      <c r="J68" s="65"/>
      <c r="K68" s="65"/>
      <c r="L68" s="65"/>
      <c r="M68" s="65"/>
      <c r="N68" s="65"/>
      <c r="O68" s="65"/>
      <c r="P68" s="66">
        <f t="shared" ref="P68:P97" si="1">SUM(D68:O68)</f>
        <v>4</v>
      </c>
    </row>
    <row r="69" spans="1:16">
      <c r="A69" s="3">
        <v>67</v>
      </c>
      <c r="B69" s="3" t="s">
        <v>2</v>
      </c>
      <c r="C69" s="74" t="s">
        <v>115</v>
      </c>
      <c r="D69" s="64">
        <v>1</v>
      </c>
      <c r="E69" s="64">
        <v>2</v>
      </c>
      <c r="F69" s="64">
        <v>1</v>
      </c>
      <c r="G69" s="64"/>
      <c r="H69" s="65"/>
      <c r="I69" s="65"/>
      <c r="J69" s="65"/>
      <c r="K69" s="65"/>
      <c r="L69" s="65"/>
      <c r="M69" s="65"/>
      <c r="N69" s="65"/>
      <c r="O69" s="65"/>
      <c r="P69" s="66">
        <f t="shared" si="1"/>
        <v>4</v>
      </c>
    </row>
    <row r="70" spans="1:16">
      <c r="A70" s="3">
        <v>68</v>
      </c>
      <c r="B70" s="3" t="s">
        <v>2</v>
      </c>
      <c r="C70" s="74" t="s">
        <v>116</v>
      </c>
      <c r="D70" s="64">
        <v>2</v>
      </c>
      <c r="E70" s="64"/>
      <c r="F70" s="64">
        <v>2</v>
      </c>
      <c r="G70" s="64"/>
      <c r="H70" s="65"/>
      <c r="I70" s="65"/>
      <c r="J70" s="65"/>
      <c r="K70" s="65"/>
      <c r="L70" s="65"/>
      <c r="M70" s="65"/>
      <c r="N70" s="65"/>
      <c r="O70" s="65"/>
      <c r="P70" s="66">
        <f t="shared" si="1"/>
        <v>4</v>
      </c>
    </row>
    <row r="71" spans="1:16">
      <c r="A71" s="3">
        <v>69</v>
      </c>
      <c r="B71" s="3" t="s">
        <v>2</v>
      </c>
      <c r="C71" s="74" t="s">
        <v>117</v>
      </c>
      <c r="D71" s="64">
        <v>2</v>
      </c>
      <c r="E71" s="64"/>
      <c r="F71" s="64"/>
      <c r="G71" s="64"/>
      <c r="H71" s="65"/>
      <c r="I71" s="65"/>
      <c r="J71" s="65"/>
      <c r="K71" s="65"/>
      <c r="L71" s="65"/>
      <c r="M71" s="65"/>
      <c r="N71" s="65"/>
      <c r="O71" s="65"/>
      <c r="P71" s="66">
        <f t="shared" si="1"/>
        <v>2</v>
      </c>
    </row>
    <row r="72" spans="1:16">
      <c r="A72" s="3">
        <v>70</v>
      </c>
      <c r="B72" s="3" t="s">
        <v>2</v>
      </c>
      <c r="C72" s="74" t="s">
        <v>118</v>
      </c>
      <c r="D72" s="64"/>
      <c r="E72" s="64">
        <v>2</v>
      </c>
      <c r="F72" s="64">
        <v>1</v>
      </c>
      <c r="G72" s="64"/>
      <c r="H72" s="65"/>
      <c r="I72" s="65"/>
      <c r="J72" s="65"/>
      <c r="K72" s="65"/>
      <c r="L72" s="65"/>
      <c r="M72" s="65"/>
      <c r="N72" s="65"/>
      <c r="O72" s="65"/>
      <c r="P72" s="66">
        <f t="shared" si="1"/>
        <v>3</v>
      </c>
    </row>
    <row r="73" spans="1:16">
      <c r="A73" s="3">
        <v>71</v>
      </c>
      <c r="B73" s="3" t="s">
        <v>2</v>
      </c>
      <c r="C73" s="74" t="s">
        <v>119</v>
      </c>
      <c r="D73" s="64">
        <v>1</v>
      </c>
      <c r="E73" s="64"/>
      <c r="F73" s="64">
        <v>1</v>
      </c>
      <c r="G73" s="64">
        <v>1</v>
      </c>
      <c r="H73" s="65"/>
      <c r="I73" s="65"/>
      <c r="J73" s="65"/>
      <c r="K73" s="65"/>
      <c r="L73" s="65"/>
      <c r="M73" s="65"/>
      <c r="N73" s="65"/>
      <c r="O73" s="65"/>
      <c r="P73" s="66">
        <f t="shared" si="1"/>
        <v>3</v>
      </c>
    </row>
    <row r="74" spans="1:16">
      <c r="A74" s="3">
        <v>72</v>
      </c>
      <c r="B74" s="3" t="s">
        <v>2</v>
      </c>
      <c r="C74" s="74" t="s">
        <v>120</v>
      </c>
      <c r="D74" s="64">
        <v>1</v>
      </c>
      <c r="E74" s="64"/>
      <c r="F74" s="64"/>
      <c r="G74" s="64">
        <v>2</v>
      </c>
      <c r="H74" s="65"/>
      <c r="I74" s="65"/>
      <c r="J74" s="65"/>
      <c r="K74" s="65"/>
      <c r="L74" s="65"/>
      <c r="M74" s="65"/>
      <c r="N74" s="65"/>
      <c r="O74" s="65"/>
      <c r="P74" s="66">
        <f t="shared" si="1"/>
        <v>3</v>
      </c>
    </row>
    <row r="75" spans="1:16">
      <c r="A75" s="3">
        <v>73</v>
      </c>
      <c r="B75" s="3" t="s">
        <v>2</v>
      </c>
      <c r="C75" s="74" t="s">
        <v>121</v>
      </c>
      <c r="D75" s="64">
        <v>1</v>
      </c>
      <c r="E75" s="64"/>
      <c r="F75" s="64">
        <v>2</v>
      </c>
      <c r="G75" s="64"/>
      <c r="H75" s="65"/>
      <c r="I75" s="65"/>
      <c r="J75" s="65"/>
      <c r="K75" s="65"/>
      <c r="L75" s="65"/>
      <c r="M75" s="65"/>
      <c r="N75" s="65"/>
      <c r="O75" s="65"/>
      <c r="P75" s="66">
        <f t="shared" si="1"/>
        <v>3</v>
      </c>
    </row>
    <row r="76" spans="1:16">
      <c r="A76" s="3">
        <v>74</v>
      </c>
      <c r="B76" s="3" t="s">
        <v>2</v>
      </c>
      <c r="C76" s="74" t="s">
        <v>122</v>
      </c>
      <c r="D76" s="64"/>
      <c r="E76" s="64"/>
      <c r="F76" s="64"/>
      <c r="G76" s="64">
        <v>2</v>
      </c>
      <c r="H76" s="65"/>
      <c r="I76" s="65"/>
      <c r="J76" s="65"/>
      <c r="K76" s="65"/>
      <c r="L76" s="65"/>
      <c r="M76" s="65"/>
      <c r="N76" s="65"/>
      <c r="O76" s="65"/>
      <c r="P76" s="66">
        <f t="shared" si="1"/>
        <v>2</v>
      </c>
    </row>
    <row r="77" spans="1:16">
      <c r="A77" s="3">
        <v>75</v>
      </c>
      <c r="B77" s="3" t="s">
        <v>2</v>
      </c>
      <c r="C77" s="74" t="s">
        <v>123</v>
      </c>
      <c r="D77" s="64">
        <v>2</v>
      </c>
      <c r="E77" s="64"/>
      <c r="F77" s="64"/>
      <c r="G77" s="64"/>
      <c r="H77" s="65"/>
      <c r="I77" s="65"/>
      <c r="J77" s="65"/>
      <c r="K77" s="65"/>
      <c r="L77" s="65"/>
      <c r="M77" s="65"/>
      <c r="N77" s="65"/>
      <c r="O77" s="65"/>
      <c r="P77" s="66">
        <f t="shared" si="1"/>
        <v>2</v>
      </c>
    </row>
    <row r="78" spans="1:16">
      <c r="A78" s="3">
        <v>76</v>
      </c>
      <c r="B78" s="3" t="s">
        <v>2</v>
      </c>
      <c r="C78" s="75" t="s">
        <v>124</v>
      </c>
      <c r="D78" s="68"/>
      <c r="E78" s="68">
        <v>2</v>
      </c>
      <c r="F78" s="68"/>
      <c r="G78" s="68"/>
      <c r="H78" s="65"/>
      <c r="I78" s="65"/>
      <c r="J78" s="65"/>
      <c r="K78" s="65"/>
      <c r="L78" s="65"/>
      <c r="M78" s="65"/>
      <c r="N78" s="65"/>
      <c r="O78" s="65"/>
      <c r="P78" s="66">
        <f t="shared" si="1"/>
        <v>2</v>
      </c>
    </row>
    <row r="79" spans="1:16">
      <c r="A79" s="3">
        <v>77</v>
      </c>
      <c r="B79" s="3" t="s">
        <v>2</v>
      </c>
      <c r="C79" s="74" t="s">
        <v>125</v>
      </c>
      <c r="D79" s="64"/>
      <c r="E79" s="64"/>
      <c r="F79" s="64">
        <v>2</v>
      </c>
      <c r="G79" s="64"/>
      <c r="H79" s="65"/>
      <c r="I79" s="65"/>
      <c r="J79" s="65"/>
      <c r="K79" s="65"/>
      <c r="L79" s="65"/>
      <c r="M79" s="65"/>
      <c r="N79" s="65"/>
      <c r="O79" s="65"/>
      <c r="P79" s="66">
        <f t="shared" si="1"/>
        <v>2</v>
      </c>
    </row>
    <row r="80" spans="1:16">
      <c r="A80" s="3">
        <v>78</v>
      </c>
      <c r="B80" s="3" t="s">
        <v>2</v>
      </c>
      <c r="C80" s="74" t="s">
        <v>126</v>
      </c>
      <c r="D80" s="64"/>
      <c r="E80" s="64"/>
      <c r="F80" s="64"/>
      <c r="G80" s="64">
        <v>1</v>
      </c>
      <c r="H80" s="65"/>
      <c r="I80" s="65"/>
      <c r="J80" s="65"/>
      <c r="K80" s="65"/>
      <c r="L80" s="65"/>
      <c r="M80" s="65"/>
      <c r="N80" s="65"/>
      <c r="O80" s="65"/>
      <c r="P80" s="66">
        <f t="shared" si="1"/>
        <v>1</v>
      </c>
    </row>
    <row r="81" spans="1:16">
      <c r="A81" s="67">
        <v>79</v>
      </c>
      <c r="B81" s="3" t="s">
        <v>2</v>
      </c>
      <c r="C81" s="74" t="s">
        <v>127</v>
      </c>
      <c r="D81" s="64">
        <v>1</v>
      </c>
      <c r="E81" s="64"/>
      <c r="F81" s="64"/>
      <c r="G81" s="64">
        <v>1</v>
      </c>
      <c r="H81" s="65"/>
      <c r="I81" s="65"/>
      <c r="J81" s="65"/>
      <c r="K81" s="65"/>
      <c r="L81" s="65"/>
      <c r="M81" s="65"/>
      <c r="N81" s="65"/>
      <c r="O81" s="65"/>
      <c r="P81" s="66">
        <f t="shared" si="1"/>
        <v>2</v>
      </c>
    </row>
    <row r="82" spans="1:16">
      <c r="A82" s="3">
        <v>80</v>
      </c>
      <c r="B82" s="3" t="s">
        <v>2</v>
      </c>
      <c r="C82" s="74" t="s">
        <v>128</v>
      </c>
      <c r="D82" s="64"/>
      <c r="E82" s="64">
        <v>1</v>
      </c>
      <c r="F82" s="64"/>
      <c r="G82" s="64">
        <v>1</v>
      </c>
      <c r="H82" s="65"/>
      <c r="I82" s="65"/>
      <c r="J82" s="65"/>
      <c r="K82" s="65"/>
      <c r="L82" s="65"/>
      <c r="M82" s="65"/>
      <c r="N82" s="65"/>
      <c r="O82" s="65"/>
      <c r="P82" s="66">
        <f t="shared" si="1"/>
        <v>2</v>
      </c>
    </row>
    <row r="83" spans="1:16">
      <c r="A83" s="3">
        <v>81</v>
      </c>
      <c r="B83" s="3" t="s">
        <v>2</v>
      </c>
      <c r="C83" s="74" t="s">
        <v>129</v>
      </c>
      <c r="D83" s="64"/>
      <c r="E83" s="64">
        <v>1</v>
      </c>
      <c r="F83" s="64"/>
      <c r="G83" s="64"/>
      <c r="H83" s="65"/>
      <c r="I83" s="65"/>
      <c r="J83" s="65"/>
      <c r="K83" s="65"/>
      <c r="L83" s="65"/>
      <c r="M83" s="65"/>
      <c r="N83" s="65"/>
      <c r="O83" s="65"/>
      <c r="P83" s="66">
        <f t="shared" si="1"/>
        <v>1</v>
      </c>
    </row>
    <row r="84" spans="1:16">
      <c r="A84" s="3">
        <v>82</v>
      </c>
      <c r="B84" s="3" t="s">
        <v>2</v>
      </c>
      <c r="C84" s="74" t="s">
        <v>130</v>
      </c>
      <c r="D84" s="64">
        <v>1</v>
      </c>
      <c r="E84" s="64">
        <v>1</v>
      </c>
      <c r="F84" s="64"/>
      <c r="G84" s="64"/>
      <c r="H84" s="65"/>
      <c r="I84" s="65"/>
      <c r="J84" s="65"/>
      <c r="K84" s="65"/>
      <c r="L84" s="65"/>
      <c r="M84" s="65"/>
      <c r="N84" s="65"/>
      <c r="O84" s="65"/>
      <c r="P84" s="66">
        <f t="shared" si="1"/>
        <v>2</v>
      </c>
    </row>
    <row r="85" spans="1:16">
      <c r="A85" s="3">
        <v>83</v>
      </c>
      <c r="B85" s="3" t="s">
        <v>2</v>
      </c>
      <c r="C85" s="74" t="s">
        <v>131</v>
      </c>
      <c r="D85" s="64"/>
      <c r="E85" s="64">
        <v>1</v>
      </c>
      <c r="F85" s="64"/>
      <c r="G85" s="64"/>
      <c r="H85" s="65"/>
      <c r="I85" s="65"/>
      <c r="J85" s="65"/>
      <c r="K85" s="65"/>
      <c r="L85" s="65"/>
      <c r="M85" s="65"/>
      <c r="N85" s="65"/>
      <c r="O85" s="65"/>
      <c r="P85" s="66">
        <f t="shared" si="1"/>
        <v>1</v>
      </c>
    </row>
    <row r="86" spans="1:16">
      <c r="A86" s="3">
        <v>84</v>
      </c>
      <c r="B86" s="3" t="s">
        <v>2</v>
      </c>
      <c r="C86" s="74" t="s">
        <v>132</v>
      </c>
      <c r="D86" s="64"/>
      <c r="E86" s="64"/>
      <c r="F86" s="64">
        <v>1</v>
      </c>
      <c r="G86" s="64"/>
      <c r="H86" s="65"/>
      <c r="I86" s="65"/>
      <c r="J86" s="65"/>
      <c r="K86" s="65"/>
      <c r="L86" s="65"/>
      <c r="M86" s="65"/>
      <c r="N86" s="65"/>
      <c r="O86" s="65"/>
      <c r="P86" s="66">
        <f t="shared" si="1"/>
        <v>1</v>
      </c>
    </row>
    <row r="87" spans="1:16">
      <c r="A87" s="3">
        <v>85</v>
      </c>
      <c r="B87" s="3" t="s">
        <v>2</v>
      </c>
      <c r="C87" s="74" t="s">
        <v>133</v>
      </c>
      <c r="D87" s="64"/>
      <c r="E87" s="64"/>
      <c r="F87" s="64"/>
      <c r="G87" s="64">
        <v>1</v>
      </c>
      <c r="H87" s="65"/>
      <c r="I87" s="65"/>
      <c r="J87" s="65"/>
      <c r="K87" s="65"/>
      <c r="L87" s="65"/>
      <c r="M87" s="65"/>
      <c r="N87" s="65"/>
      <c r="O87" s="65"/>
      <c r="P87" s="66">
        <f t="shared" si="1"/>
        <v>1</v>
      </c>
    </row>
    <row r="88" spans="1:16">
      <c r="A88" s="3">
        <v>86</v>
      </c>
      <c r="B88" s="3" t="s">
        <v>2</v>
      </c>
      <c r="C88" s="74" t="s">
        <v>134</v>
      </c>
      <c r="D88" s="64">
        <v>1</v>
      </c>
      <c r="E88" s="64"/>
      <c r="F88" s="64"/>
      <c r="G88" s="64"/>
      <c r="H88" s="65"/>
      <c r="I88" s="65"/>
      <c r="J88" s="65"/>
      <c r="K88" s="65"/>
      <c r="L88" s="65"/>
      <c r="M88" s="65"/>
      <c r="N88" s="65"/>
      <c r="O88" s="65"/>
      <c r="P88" s="66">
        <f t="shared" si="1"/>
        <v>1</v>
      </c>
    </row>
    <row r="89" spans="1:16">
      <c r="A89" s="3">
        <v>87</v>
      </c>
      <c r="B89" s="3" t="s">
        <v>2</v>
      </c>
      <c r="C89" s="74" t="s">
        <v>135</v>
      </c>
      <c r="D89" s="64">
        <v>1</v>
      </c>
      <c r="E89" s="64"/>
      <c r="F89" s="64"/>
      <c r="G89" s="64"/>
      <c r="H89" s="65"/>
      <c r="I89" s="65"/>
      <c r="J89" s="65"/>
      <c r="K89" s="65"/>
      <c r="L89" s="65"/>
      <c r="M89" s="65"/>
      <c r="N89" s="65"/>
      <c r="O89" s="65"/>
      <c r="P89" s="66">
        <f t="shared" si="1"/>
        <v>1</v>
      </c>
    </row>
    <row r="90" spans="1:16">
      <c r="A90" s="3">
        <v>88</v>
      </c>
      <c r="B90" s="3" t="s">
        <v>2</v>
      </c>
      <c r="C90" s="74" t="s">
        <v>136</v>
      </c>
      <c r="D90" s="64"/>
      <c r="E90" s="64">
        <v>1</v>
      </c>
      <c r="F90" s="64"/>
      <c r="G90" s="64"/>
      <c r="H90" s="65"/>
      <c r="I90" s="65"/>
      <c r="J90" s="65"/>
      <c r="K90" s="65"/>
      <c r="L90" s="65"/>
      <c r="M90" s="65"/>
      <c r="N90" s="65"/>
      <c r="O90" s="65"/>
      <c r="P90" s="66">
        <f t="shared" si="1"/>
        <v>1</v>
      </c>
    </row>
    <row r="91" spans="1:16">
      <c r="A91" s="3">
        <v>89</v>
      </c>
      <c r="B91" s="3" t="s">
        <v>2</v>
      </c>
      <c r="C91" s="74" t="s">
        <v>137</v>
      </c>
      <c r="D91" s="64"/>
      <c r="E91" s="64">
        <v>1</v>
      </c>
      <c r="F91" s="64"/>
      <c r="G91" s="64"/>
      <c r="H91" s="65"/>
      <c r="I91" s="65"/>
      <c r="J91" s="65"/>
      <c r="K91" s="65"/>
      <c r="L91" s="65"/>
      <c r="M91" s="65"/>
      <c r="N91" s="65"/>
      <c r="O91" s="65"/>
      <c r="P91" s="66">
        <f t="shared" si="1"/>
        <v>1</v>
      </c>
    </row>
    <row r="92" spans="1:16">
      <c r="A92" s="3">
        <v>90</v>
      </c>
      <c r="B92" s="3" t="s">
        <v>2</v>
      </c>
      <c r="C92" s="74" t="s">
        <v>138</v>
      </c>
      <c r="D92" s="64"/>
      <c r="E92" s="64"/>
      <c r="F92" s="64">
        <v>1</v>
      </c>
      <c r="G92" s="64"/>
      <c r="H92" s="65"/>
      <c r="I92" s="65"/>
      <c r="J92" s="65"/>
      <c r="K92" s="65"/>
      <c r="L92" s="65"/>
      <c r="M92" s="65"/>
      <c r="N92" s="65"/>
      <c r="O92" s="65"/>
      <c r="P92" s="66">
        <f t="shared" si="1"/>
        <v>1</v>
      </c>
    </row>
    <row r="93" spans="1:16">
      <c r="A93" s="3">
        <v>91</v>
      </c>
      <c r="B93" s="3" t="s">
        <v>2</v>
      </c>
      <c r="C93" s="74" t="s">
        <v>139</v>
      </c>
      <c r="D93" s="64"/>
      <c r="E93" s="64"/>
      <c r="F93" s="64"/>
      <c r="G93" s="64">
        <v>1</v>
      </c>
      <c r="H93" s="65"/>
      <c r="I93" s="65"/>
      <c r="J93" s="65"/>
      <c r="K93" s="65"/>
      <c r="L93" s="65"/>
      <c r="M93" s="65"/>
      <c r="N93" s="65"/>
      <c r="O93" s="65"/>
      <c r="P93" s="66">
        <f t="shared" si="1"/>
        <v>1</v>
      </c>
    </row>
    <row r="94" spans="1:16">
      <c r="A94" s="3">
        <v>92</v>
      </c>
      <c r="B94" s="3" t="s">
        <v>2</v>
      </c>
      <c r="C94" s="74" t="s">
        <v>140</v>
      </c>
      <c r="D94" s="64"/>
      <c r="E94" s="64"/>
      <c r="F94" s="64">
        <v>1</v>
      </c>
      <c r="G94" s="64"/>
      <c r="H94" s="65"/>
      <c r="I94" s="65"/>
      <c r="J94" s="65"/>
      <c r="K94" s="65"/>
      <c r="L94" s="65"/>
      <c r="M94" s="65"/>
      <c r="N94" s="65"/>
      <c r="O94" s="65"/>
      <c r="P94" s="66">
        <f t="shared" si="1"/>
        <v>1</v>
      </c>
    </row>
    <row r="95" spans="1:16">
      <c r="A95" s="3">
        <v>93</v>
      </c>
      <c r="B95" s="3" t="s">
        <v>2</v>
      </c>
      <c r="C95" s="74" t="s">
        <v>141</v>
      </c>
      <c r="D95" s="64"/>
      <c r="E95" s="64"/>
      <c r="F95" s="64">
        <v>1</v>
      </c>
      <c r="G95" s="64"/>
      <c r="H95" s="65"/>
      <c r="I95" s="65"/>
      <c r="J95" s="65"/>
      <c r="K95" s="65"/>
      <c r="L95" s="65"/>
      <c r="M95" s="65"/>
      <c r="N95" s="65"/>
      <c r="O95" s="65"/>
      <c r="P95" s="66">
        <f t="shared" si="1"/>
        <v>1</v>
      </c>
    </row>
    <row r="96" spans="1:16">
      <c r="A96" s="3">
        <v>94</v>
      </c>
      <c r="B96" s="3" t="s">
        <v>2</v>
      </c>
      <c r="C96" s="74" t="s">
        <v>142</v>
      </c>
      <c r="D96" s="64"/>
      <c r="E96" s="64"/>
      <c r="F96" s="64">
        <v>1</v>
      </c>
      <c r="G96" s="64"/>
      <c r="H96" s="65"/>
      <c r="I96" s="65"/>
      <c r="J96" s="65"/>
      <c r="K96" s="65"/>
      <c r="L96" s="65"/>
      <c r="M96" s="65"/>
      <c r="N96" s="65"/>
      <c r="O96" s="65"/>
      <c r="P96" s="66">
        <f t="shared" si="1"/>
        <v>1</v>
      </c>
    </row>
    <row r="97" spans="1:16">
      <c r="A97" s="3">
        <v>95</v>
      </c>
      <c r="B97" s="3" t="s">
        <v>2</v>
      </c>
      <c r="C97" s="74" t="s">
        <v>143</v>
      </c>
      <c r="D97" s="64"/>
      <c r="E97" s="64"/>
      <c r="F97" s="64">
        <v>1</v>
      </c>
      <c r="G97" s="64"/>
      <c r="H97" s="65"/>
      <c r="I97" s="65"/>
      <c r="J97" s="65"/>
      <c r="K97" s="65"/>
      <c r="L97" s="65"/>
      <c r="M97" s="65"/>
      <c r="N97" s="65"/>
      <c r="O97" s="65"/>
      <c r="P97" s="66">
        <f t="shared" si="1"/>
        <v>1</v>
      </c>
    </row>
    <row r="98" spans="1:16"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6"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6"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6"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6"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6"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6"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6"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6"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6"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6"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6"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6"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6"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6"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4:15"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4:15"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4:15"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4:15"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4:15"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4:15"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4:15"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4:15"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4:15"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4:15"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4:15"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4:15"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4:15"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4:15"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4:15"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4:15"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4:15"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4:15"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4:15"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4:15"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4:15"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4:15"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4:15"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4:15"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4:15"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4:15"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4:15"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4:15"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4:15"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4:15"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4:15"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4:15"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4:15"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4:15"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4:15"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4:15"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4:15"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4:15"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4:15"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4:15"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4:15"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4:15"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4:15"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4:15"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4:15"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4:15"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4:15"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 spans="4:15"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 spans="4:15"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 spans="4:15"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4:15"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 spans="4:15"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 spans="4:15"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 spans="4:15"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 spans="4:15"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 spans="4:15"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 spans="4:15"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 spans="4:15"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 spans="4:15"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 spans="4:15"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 spans="4:15"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 spans="4:15"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 spans="4:15"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 spans="4:15"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  <row r="177" spans="4:15"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</row>
    <row r="178" spans="4:15"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</row>
    <row r="179" spans="4:15"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</row>
    <row r="180" spans="4:15"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</row>
    <row r="181" spans="4:15"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</row>
    <row r="182" spans="4:15"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</row>
    <row r="183" spans="4:15"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</row>
    <row r="184" spans="4:15"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</row>
    <row r="185" spans="4:15"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</row>
    <row r="186" spans="4:15"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</row>
    <row r="187" spans="4:15"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</row>
    <row r="188" spans="4:15"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</row>
    <row r="189" spans="4:15"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</row>
    <row r="190" spans="4:15"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</row>
    <row r="191" spans="4:15"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</row>
    <row r="192" spans="4:15"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</row>
    <row r="193" spans="4:15"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</row>
    <row r="194" spans="4:15"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 spans="4:15"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 spans="4:15"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</row>
    <row r="197" spans="4:15"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</row>
    <row r="198" spans="4:15"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</row>
    <row r="199" spans="4:15"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</row>
    <row r="200" spans="4:15"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</row>
    <row r="201" spans="4:15"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</row>
    <row r="202" spans="4:15"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</row>
    <row r="203" spans="4:15"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</row>
    <row r="204" spans="4:15"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</row>
    <row r="205" spans="4:15"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</row>
    <row r="206" spans="4:15"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</row>
    <row r="207" spans="4:15"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</row>
    <row r="208" spans="4:15"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</row>
    <row r="209" spans="4:15"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</row>
    <row r="210" spans="4:15"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</row>
    <row r="211" spans="4:15"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</row>
    <row r="212" spans="4:15"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</row>
    <row r="213" spans="4:15"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</row>
    <row r="214" spans="4:15"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</row>
    <row r="215" spans="4:15"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</row>
    <row r="216" spans="4:15"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</row>
    <row r="217" spans="4:15"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</row>
    <row r="218" spans="4:15"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</row>
    <row r="219" spans="4:15"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</row>
    <row r="220" spans="4:15"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</row>
    <row r="221" spans="4:15"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</row>
    <row r="222" spans="4:15"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</row>
    <row r="223" spans="4:15"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</row>
    <row r="224" spans="4:15"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</row>
    <row r="225" spans="4:15"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</row>
    <row r="226" spans="4:15"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</row>
    <row r="227" spans="4:15"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</row>
    <row r="228" spans="4:15"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</row>
    <row r="229" spans="4:15"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</row>
    <row r="230" spans="4:15"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</row>
    <row r="231" spans="4:15"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</row>
    <row r="232" spans="4:15"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</row>
    <row r="233" spans="4:15"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</row>
    <row r="234" spans="4:15"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</row>
    <row r="235" spans="4:15"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</row>
    <row r="236" spans="4:15"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</row>
    <row r="237" spans="4:15"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</row>
    <row r="238" spans="4:15"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</row>
    <row r="239" spans="4:15"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</row>
    <row r="240" spans="4:15"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</row>
    <row r="241" spans="4:15"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</row>
    <row r="242" spans="4:15"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</row>
    <row r="243" spans="4:15"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</row>
    <row r="244" spans="4:15"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</row>
    <row r="245" spans="4:15"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</row>
    <row r="246" spans="4:15"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</row>
    <row r="247" spans="4:15"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</row>
    <row r="248" spans="4:15"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</row>
    <row r="249" spans="4:15"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</row>
    <row r="250" spans="4:15"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</row>
    <row r="251" spans="4:15"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</row>
    <row r="252" spans="4:15"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</row>
    <row r="253" spans="4:15"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</row>
    <row r="254" spans="4:15"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</row>
    <row r="255" spans="4:15"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</row>
    <row r="256" spans="4:15"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</row>
    <row r="257" spans="4:15"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</row>
    <row r="258" spans="4:15"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</row>
    <row r="259" spans="4:15"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</row>
    <row r="260" spans="4:15"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</row>
    <row r="261" spans="4:15"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</row>
    <row r="262" spans="4:15"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</row>
    <row r="263" spans="4:15"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</row>
    <row r="264" spans="4:15"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</row>
    <row r="265" spans="4:15"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</row>
    <row r="266" spans="4:15"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</row>
    <row r="267" spans="4:15"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</row>
    <row r="268" spans="4:15"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</row>
    <row r="269" spans="4:15"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</row>
    <row r="270" spans="4:15"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</row>
    <row r="271" spans="4:15"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</row>
    <row r="272" spans="4:15"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</row>
    <row r="273" spans="4:15"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</row>
    <row r="274" spans="4:15"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</row>
    <row r="275" spans="4:15"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</row>
    <row r="276" spans="4:15"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</row>
    <row r="277" spans="4:15"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</row>
    <row r="278" spans="4:15"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</row>
    <row r="279" spans="4:15"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</row>
    <row r="280" spans="4:15"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</row>
    <row r="281" spans="4:15"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</row>
    <row r="282" spans="4:15"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</row>
    <row r="283" spans="4:15"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</row>
    <row r="284" spans="4:15"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</row>
    <row r="285" spans="4:15"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</row>
    <row r="286" spans="4:15"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</row>
    <row r="287" spans="4:15"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</row>
    <row r="288" spans="4:15"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</row>
    <row r="289" spans="4:15"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</row>
    <row r="290" spans="4:15"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</row>
    <row r="291" spans="4:15"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</row>
    <row r="292" spans="4:15"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</row>
    <row r="293" spans="4:15"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</row>
    <row r="294" spans="4:15"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</row>
    <row r="295" spans="4:15"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</row>
    <row r="296" spans="4:15"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</row>
    <row r="297" spans="4:15"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</row>
    <row r="298" spans="4:15"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</row>
    <row r="299" spans="4:15"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</row>
    <row r="300" spans="4:15"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</row>
    <row r="301" spans="4:15"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</row>
    <row r="302" spans="4:15"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</row>
    <row r="303" spans="4:15"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</row>
    <row r="304" spans="4:15"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</row>
    <row r="305" spans="4:15"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</row>
    <row r="306" spans="4:15"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</row>
    <row r="307" spans="4:15"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</row>
    <row r="308" spans="4:15"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</row>
    <row r="309" spans="4:15"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</row>
    <row r="310" spans="4:15"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</row>
    <row r="311" spans="4:15"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</row>
    <row r="312" spans="4:15"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</row>
    <row r="313" spans="4:15"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</row>
    <row r="314" spans="4:15"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</row>
    <row r="315" spans="4:15"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</row>
    <row r="316" spans="4:15"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</row>
    <row r="317" spans="4:15"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</row>
    <row r="318" spans="4:15"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</row>
    <row r="319" spans="4:15"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</row>
    <row r="320" spans="4:15"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</row>
    <row r="321" spans="4:15"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</row>
    <row r="322" spans="4:15"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</row>
    <row r="323" spans="4:15"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</row>
    <row r="324" spans="4:15"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</row>
    <row r="325" spans="4:15"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</row>
    <row r="326" spans="4:15"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</row>
    <row r="327" spans="4:15"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</row>
    <row r="328" spans="4:15"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</row>
    <row r="329" spans="4:15"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</row>
    <row r="330" spans="4:15"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</row>
    <row r="331" spans="4:15"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</row>
    <row r="332" spans="4:15"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</row>
    <row r="333" spans="4:15"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</row>
    <row r="334" spans="4:15"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</row>
    <row r="335" spans="4:15"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</row>
    <row r="336" spans="4:15"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</row>
    <row r="337" spans="4:15"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</row>
    <row r="338" spans="4:15"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</row>
    <row r="339" spans="4:15"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</row>
    <row r="340" spans="4:15"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</row>
    <row r="341" spans="4:15"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</row>
    <row r="342" spans="4:15"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</row>
    <row r="343" spans="4:15"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</row>
    <row r="344" spans="4:15"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</row>
    <row r="345" spans="4:15"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</row>
    <row r="346" spans="4:15"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</row>
    <row r="347" spans="4:15"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</row>
    <row r="348" spans="4:15"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</row>
    <row r="349" spans="4:15"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</row>
    <row r="350" spans="4:15"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</row>
    <row r="351" spans="4:15"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</row>
    <row r="352" spans="4:15"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</row>
    <row r="353" spans="4:15"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C58D-50B2-4323-918E-F9C6C6958048}">
  <dimension ref="A1:P353"/>
  <sheetViews>
    <sheetView zoomScale="85" zoomScaleNormal="85" workbookViewId="0">
      <selection activeCell="C3" sqref="C3:C97"/>
    </sheetView>
  </sheetViews>
  <sheetFormatPr defaultRowHeight="16"/>
  <cols>
    <col min="1" max="1" width="7.6328125" style="43" customWidth="1"/>
    <col min="2" max="2" width="9.36328125" style="43" customWidth="1"/>
    <col min="3" max="3" width="15.1796875" style="43" customWidth="1"/>
    <col min="4" max="15" width="8.7265625" style="43"/>
    <col min="16" max="16" width="9.1796875" style="59" bestFit="1" customWidth="1"/>
    <col min="17" max="16384" width="8.7265625" style="43"/>
  </cols>
  <sheetData>
    <row r="1" spans="1:16">
      <c r="A1" s="42" t="s">
        <v>301</v>
      </c>
    </row>
    <row r="2" spans="1:16" ht="24.5" customHeight="1">
      <c r="A2" s="55" t="s">
        <v>45</v>
      </c>
      <c r="B2" s="60" t="s">
        <v>5</v>
      </c>
      <c r="C2" s="55" t="s">
        <v>46</v>
      </c>
      <c r="D2" s="61" t="s">
        <v>42</v>
      </c>
      <c r="E2" s="62" t="s">
        <v>43</v>
      </c>
      <c r="F2" s="62" t="s">
        <v>47</v>
      </c>
      <c r="G2" s="62" t="s">
        <v>48</v>
      </c>
      <c r="H2" s="62" t="s">
        <v>144</v>
      </c>
      <c r="I2" s="62" t="s">
        <v>145</v>
      </c>
      <c r="J2" s="62" t="s">
        <v>146</v>
      </c>
      <c r="K2" s="62" t="s">
        <v>147</v>
      </c>
      <c r="L2" s="62" t="s">
        <v>148</v>
      </c>
      <c r="M2" s="62" t="s">
        <v>149</v>
      </c>
      <c r="N2" s="62" t="s">
        <v>150</v>
      </c>
      <c r="O2" s="62" t="s">
        <v>151</v>
      </c>
      <c r="P2" s="63" t="s">
        <v>0</v>
      </c>
    </row>
    <row r="3" spans="1:16" ht="19" customHeight="1">
      <c r="A3" s="3">
        <v>1</v>
      </c>
      <c r="B3" s="3" t="s">
        <v>2</v>
      </c>
      <c r="C3" s="74" t="s">
        <v>49</v>
      </c>
      <c r="D3" s="64">
        <v>512</v>
      </c>
      <c r="E3" s="64">
        <v>586</v>
      </c>
      <c r="F3" s="64">
        <v>611</v>
      </c>
      <c r="G3" s="64">
        <v>716</v>
      </c>
      <c r="H3" s="65"/>
      <c r="I3" s="65"/>
      <c r="J3" s="65"/>
      <c r="K3" s="65"/>
      <c r="L3" s="65"/>
      <c r="M3" s="65"/>
      <c r="N3" s="65"/>
      <c r="O3" s="65"/>
      <c r="P3" s="66">
        <f>SUM(D3:O3)</f>
        <v>2425</v>
      </c>
    </row>
    <row r="4" spans="1:16">
      <c r="A4" s="3">
        <v>2</v>
      </c>
      <c r="B4" s="3" t="s">
        <v>2</v>
      </c>
      <c r="C4" s="74" t="s">
        <v>50</v>
      </c>
      <c r="D4" s="64">
        <v>557</v>
      </c>
      <c r="E4" s="64">
        <v>529</v>
      </c>
      <c r="F4" s="64">
        <v>562</v>
      </c>
      <c r="G4" s="64">
        <v>690</v>
      </c>
      <c r="H4" s="65"/>
      <c r="I4" s="65"/>
      <c r="J4" s="65"/>
      <c r="K4" s="65"/>
      <c r="L4" s="65"/>
      <c r="M4" s="65"/>
      <c r="N4" s="65"/>
      <c r="O4" s="65"/>
      <c r="P4" s="66">
        <f t="shared" ref="P4:P67" si="0">SUM(D4:O4)</f>
        <v>2338</v>
      </c>
    </row>
    <row r="5" spans="1:16">
      <c r="A5" s="3">
        <v>3</v>
      </c>
      <c r="B5" s="3" t="s">
        <v>2</v>
      </c>
      <c r="C5" s="74" t="s">
        <v>51</v>
      </c>
      <c r="D5" s="64">
        <v>183</v>
      </c>
      <c r="E5" s="64">
        <v>163</v>
      </c>
      <c r="F5" s="64">
        <v>223</v>
      </c>
      <c r="G5" s="64">
        <v>185</v>
      </c>
      <c r="H5" s="65"/>
      <c r="I5" s="65"/>
      <c r="J5" s="65"/>
      <c r="K5" s="65"/>
      <c r="L5" s="65"/>
      <c r="M5" s="65"/>
      <c r="N5" s="65"/>
      <c r="O5" s="65"/>
      <c r="P5" s="66">
        <f t="shared" si="0"/>
        <v>754</v>
      </c>
    </row>
    <row r="6" spans="1:16">
      <c r="A6" s="3">
        <v>4</v>
      </c>
      <c r="B6" s="3" t="s">
        <v>2</v>
      </c>
      <c r="C6" s="74" t="s">
        <v>52</v>
      </c>
      <c r="D6" s="64">
        <v>155</v>
      </c>
      <c r="E6" s="64">
        <v>144</v>
      </c>
      <c r="F6" s="64">
        <v>161</v>
      </c>
      <c r="G6" s="64">
        <v>174</v>
      </c>
      <c r="H6" s="65"/>
      <c r="I6" s="65"/>
      <c r="J6" s="65"/>
      <c r="K6" s="65"/>
      <c r="L6" s="65"/>
      <c r="M6" s="65"/>
      <c r="N6" s="65"/>
      <c r="O6" s="65"/>
      <c r="P6" s="66">
        <f t="shared" si="0"/>
        <v>634</v>
      </c>
    </row>
    <row r="7" spans="1:16">
      <c r="A7" s="3">
        <v>5</v>
      </c>
      <c r="B7" s="3" t="s">
        <v>2</v>
      </c>
      <c r="C7" s="74" t="s">
        <v>53</v>
      </c>
      <c r="D7" s="64">
        <v>148</v>
      </c>
      <c r="E7" s="64">
        <v>138</v>
      </c>
      <c r="F7" s="64">
        <v>171</v>
      </c>
      <c r="G7" s="64">
        <v>156</v>
      </c>
      <c r="H7" s="65"/>
      <c r="I7" s="65"/>
      <c r="J7" s="65"/>
      <c r="K7" s="65"/>
      <c r="L7" s="65"/>
      <c r="M7" s="65"/>
      <c r="N7" s="65"/>
      <c r="O7" s="65"/>
      <c r="P7" s="66">
        <f t="shared" si="0"/>
        <v>613</v>
      </c>
    </row>
    <row r="8" spans="1:16">
      <c r="A8" s="3">
        <v>6</v>
      </c>
      <c r="B8" s="3" t="s">
        <v>2</v>
      </c>
      <c r="C8" s="74" t="s">
        <v>54</v>
      </c>
      <c r="D8" s="64">
        <v>94</v>
      </c>
      <c r="E8" s="64">
        <v>92</v>
      </c>
      <c r="F8" s="64">
        <v>98</v>
      </c>
      <c r="G8" s="64">
        <v>129</v>
      </c>
      <c r="H8" s="65"/>
      <c r="I8" s="65"/>
      <c r="J8" s="65"/>
      <c r="K8" s="65"/>
      <c r="L8" s="65"/>
      <c r="M8" s="65"/>
      <c r="N8" s="65"/>
      <c r="O8" s="65"/>
      <c r="P8" s="66">
        <f t="shared" si="0"/>
        <v>413</v>
      </c>
    </row>
    <row r="9" spans="1:16">
      <c r="A9" s="3">
        <v>7</v>
      </c>
      <c r="B9" s="3" t="s">
        <v>2</v>
      </c>
      <c r="C9" s="74" t="s">
        <v>55</v>
      </c>
      <c r="D9" s="64">
        <v>83</v>
      </c>
      <c r="E9" s="64">
        <v>89</v>
      </c>
      <c r="F9" s="64">
        <v>92</v>
      </c>
      <c r="G9" s="64">
        <v>100</v>
      </c>
      <c r="H9" s="65"/>
      <c r="I9" s="65"/>
      <c r="J9" s="65"/>
      <c r="K9" s="65"/>
      <c r="L9" s="65"/>
      <c r="M9" s="65"/>
      <c r="N9" s="65"/>
      <c r="O9" s="65"/>
      <c r="P9" s="66">
        <f t="shared" si="0"/>
        <v>364</v>
      </c>
    </row>
    <row r="10" spans="1:16">
      <c r="A10" s="3">
        <v>8</v>
      </c>
      <c r="B10" s="3" t="s">
        <v>2</v>
      </c>
      <c r="C10" s="74" t="s">
        <v>56</v>
      </c>
      <c r="D10" s="64">
        <v>87</v>
      </c>
      <c r="E10" s="64">
        <v>85</v>
      </c>
      <c r="F10" s="64">
        <v>85</v>
      </c>
      <c r="G10" s="64">
        <v>84</v>
      </c>
      <c r="H10" s="65"/>
      <c r="I10" s="65"/>
      <c r="J10" s="65"/>
      <c r="K10" s="65"/>
      <c r="L10" s="65"/>
      <c r="M10" s="65"/>
      <c r="N10" s="65"/>
      <c r="O10" s="65"/>
      <c r="P10" s="66">
        <f t="shared" si="0"/>
        <v>341</v>
      </c>
    </row>
    <row r="11" spans="1:16">
      <c r="A11" s="3">
        <v>9</v>
      </c>
      <c r="B11" s="3" t="s">
        <v>2</v>
      </c>
      <c r="C11" s="74" t="s">
        <v>57</v>
      </c>
      <c r="D11" s="64">
        <v>56</v>
      </c>
      <c r="E11" s="64">
        <v>70</v>
      </c>
      <c r="F11" s="64">
        <v>68</v>
      </c>
      <c r="G11" s="64">
        <v>94</v>
      </c>
      <c r="H11" s="65"/>
      <c r="I11" s="65"/>
      <c r="J11" s="65"/>
      <c r="K11" s="65"/>
      <c r="L11" s="65"/>
      <c r="M11" s="65"/>
      <c r="N11" s="65"/>
      <c r="O11" s="65"/>
      <c r="P11" s="66">
        <f t="shared" si="0"/>
        <v>288</v>
      </c>
    </row>
    <row r="12" spans="1:16">
      <c r="A12" s="3">
        <v>10</v>
      </c>
      <c r="B12" s="3" t="s">
        <v>2</v>
      </c>
      <c r="C12" s="74" t="s">
        <v>58</v>
      </c>
      <c r="D12" s="64">
        <v>60</v>
      </c>
      <c r="E12" s="64">
        <v>36</v>
      </c>
      <c r="F12" s="64">
        <v>53</v>
      </c>
      <c r="G12" s="64">
        <v>48</v>
      </c>
      <c r="H12" s="65"/>
      <c r="I12" s="65"/>
      <c r="J12" s="65"/>
      <c r="K12" s="65"/>
      <c r="L12" s="65"/>
      <c r="M12" s="65"/>
      <c r="N12" s="65"/>
      <c r="O12" s="65"/>
      <c r="P12" s="66">
        <f t="shared" si="0"/>
        <v>197</v>
      </c>
    </row>
    <row r="13" spans="1:16">
      <c r="A13" s="3">
        <v>11</v>
      </c>
      <c r="B13" s="3" t="s">
        <v>2</v>
      </c>
      <c r="C13" s="74" t="s">
        <v>59</v>
      </c>
      <c r="D13" s="64">
        <v>60</v>
      </c>
      <c r="E13" s="64">
        <v>36</v>
      </c>
      <c r="F13" s="64">
        <v>54</v>
      </c>
      <c r="G13" s="64">
        <v>32</v>
      </c>
      <c r="H13" s="65"/>
      <c r="I13" s="65"/>
      <c r="J13" s="65"/>
      <c r="K13" s="65"/>
      <c r="L13" s="65"/>
      <c r="M13" s="65"/>
      <c r="N13" s="65"/>
      <c r="O13" s="65"/>
      <c r="P13" s="66">
        <f t="shared" si="0"/>
        <v>182</v>
      </c>
    </row>
    <row r="14" spans="1:16">
      <c r="A14" s="3">
        <v>12</v>
      </c>
      <c r="B14" s="3" t="s">
        <v>2</v>
      </c>
      <c r="C14" s="74" t="s">
        <v>60</v>
      </c>
      <c r="D14" s="64">
        <v>48</v>
      </c>
      <c r="E14" s="64">
        <v>34</v>
      </c>
      <c r="F14" s="64">
        <v>44</v>
      </c>
      <c r="G14" s="64">
        <v>38</v>
      </c>
      <c r="H14" s="65"/>
      <c r="I14" s="65"/>
      <c r="J14" s="65"/>
      <c r="K14" s="65"/>
      <c r="L14" s="65"/>
      <c r="M14" s="65"/>
      <c r="N14" s="65"/>
      <c r="O14" s="65"/>
      <c r="P14" s="66">
        <f t="shared" si="0"/>
        <v>164</v>
      </c>
    </row>
    <row r="15" spans="1:16">
      <c r="A15" s="3">
        <v>13</v>
      </c>
      <c r="B15" s="3" t="s">
        <v>2</v>
      </c>
      <c r="C15" s="74" t="s">
        <v>61</v>
      </c>
      <c r="D15" s="64">
        <v>37</v>
      </c>
      <c r="E15" s="64">
        <v>41</v>
      </c>
      <c r="F15" s="64">
        <v>31</v>
      </c>
      <c r="G15" s="64">
        <v>28</v>
      </c>
      <c r="H15" s="65"/>
      <c r="I15" s="65"/>
      <c r="J15" s="65"/>
      <c r="K15" s="65"/>
      <c r="L15" s="65"/>
      <c r="M15" s="65"/>
      <c r="N15" s="65"/>
      <c r="O15" s="65"/>
      <c r="P15" s="66">
        <f t="shared" si="0"/>
        <v>137</v>
      </c>
    </row>
    <row r="16" spans="1:16">
      <c r="A16" s="3">
        <v>14</v>
      </c>
      <c r="B16" s="3" t="s">
        <v>2</v>
      </c>
      <c r="C16" s="74" t="s">
        <v>62</v>
      </c>
      <c r="D16" s="64">
        <v>31</v>
      </c>
      <c r="E16" s="64">
        <v>36</v>
      </c>
      <c r="F16" s="64">
        <v>26</v>
      </c>
      <c r="G16" s="64">
        <v>30</v>
      </c>
      <c r="H16" s="65"/>
      <c r="I16" s="65"/>
      <c r="J16" s="65"/>
      <c r="K16" s="65"/>
      <c r="L16" s="65"/>
      <c r="M16" s="65"/>
      <c r="N16" s="65"/>
      <c r="O16" s="65"/>
      <c r="P16" s="66">
        <f t="shared" si="0"/>
        <v>123</v>
      </c>
    </row>
    <row r="17" spans="1:16">
      <c r="A17" s="3">
        <v>15</v>
      </c>
      <c r="B17" s="3" t="s">
        <v>2</v>
      </c>
      <c r="C17" s="74" t="s">
        <v>63</v>
      </c>
      <c r="D17" s="64">
        <v>22</v>
      </c>
      <c r="E17" s="64">
        <v>24</v>
      </c>
      <c r="F17" s="64">
        <v>29</v>
      </c>
      <c r="G17" s="64">
        <v>26</v>
      </c>
      <c r="H17" s="65"/>
      <c r="I17" s="65"/>
      <c r="J17" s="65"/>
      <c r="K17" s="65"/>
      <c r="L17" s="65"/>
      <c r="M17" s="65"/>
      <c r="N17" s="65"/>
      <c r="O17" s="65"/>
      <c r="P17" s="66">
        <f t="shared" si="0"/>
        <v>101</v>
      </c>
    </row>
    <row r="18" spans="1:16">
      <c r="A18" s="3">
        <v>16</v>
      </c>
      <c r="B18" s="3" t="s">
        <v>2</v>
      </c>
      <c r="C18" s="74" t="s">
        <v>64</v>
      </c>
      <c r="D18" s="64">
        <v>1</v>
      </c>
      <c r="E18" s="64">
        <v>6</v>
      </c>
      <c r="F18" s="64">
        <v>60</v>
      </c>
      <c r="G18" s="64">
        <v>39</v>
      </c>
      <c r="H18" s="65"/>
      <c r="I18" s="65"/>
      <c r="J18" s="65"/>
      <c r="K18" s="65"/>
      <c r="L18" s="65"/>
      <c r="M18" s="65"/>
      <c r="N18" s="65"/>
      <c r="O18" s="65"/>
      <c r="P18" s="66">
        <f t="shared" si="0"/>
        <v>106</v>
      </c>
    </row>
    <row r="19" spans="1:16">
      <c r="A19" s="3">
        <v>17</v>
      </c>
      <c r="B19" s="3" t="s">
        <v>2</v>
      </c>
      <c r="C19" s="74" t="s">
        <v>65</v>
      </c>
      <c r="D19" s="64">
        <v>22</v>
      </c>
      <c r="E19" s="64">
        <v>29</v>
      </c>
      <c r="F19" s="64">
        <v>27</v>
      </c>
      <c r="G19" s="64">
        <v>28</v>
      </c>
      <c r="H19" s="65"/>
      <c r="I19" s="65"/>
      <c r="J19" s="65"/>
      <c r="K19" s="65"/>
      <c r="L19" s="65"/>
      <c r="M19" s="65"/>
      <c r="N19" s="65"/>
      <c r="O19" s="65"/>
      <c r="P19" s="66">
        <f t="shared" si="0"/>
        <v>106</v>
      </c>
    </row>
    <row r="20" spans="1:16">
      <c r="A20" s="3">
        <v>18</v>
      </c>
      <c r="B20" s="3" t="s">
        <v>2</v>
      </c>
      <c r="C20" s="74" t="s">
        <v>66</v>
      </c>
      <c r="D20" s="64">
        <v>20</v>
      </c>
      <c r="E20" s="64">
        <v>21</v>
      </c>
      <c r="F20" s="64">
        <v>19</v>
      </c>
      <c r="G20" s="64">
        <v>24</v>
      </c>
      <c r="H20" s="65"/>
      <c r="I20" s="65"/>
      <c r="J20" s="65"/>
      <c r="K20" s="65"/>
      <c r="L20" s="65"/>
      <c r="M20" s="65"/>
      <c r="N20" s="65"/>
      <c r="O20" s="65"/>
      <c r="P20" s="66">
        <f t="shared" si="0"/>
        <v>84</v>
      </c>
    </row>
    <row r="21" spans="1:16">
      <c r="A21" s="3">
        <v>19</v>
      </c>
      <c r="B21" s="3" t="s">
        <v>2</v>
      </c>
      <c r="C21" s="74" t="s">
        <v>67</v>
      </c>
      <c r="D21" s="64">
        <v>17</v>
      </c>
      <c r="E21" s="64">
        <v>19</v>
      </c>
      <c r="F21" s="64">
        <v>19</v>
      </c>
      <c r="G21" s="64">
        <v>20</v>
      </c>
      <c r="H21" s="65"/>
      <c r="I21" s="65"/>
      <c r="J21" s="65"/>
      <c r="K21" s="65"/>
      <c r="L21" s="65"/>
      <c r="M21" s="65"/>
      <c r="N21" s="65"/>
      <c r="O21" s="65"/>
      <c r="P21" s="66">
        <f t="shared" si="0"/>
        <v>75</v>
      </c>
    </row>
    <row r="22" spans="1:16">
      <c r="A22" s="3">
        <v>20</v>
      </c>
      <c r="B22" s="3" t="s">
        <v>2</v>
      </c>
      <c r="C22" s="74" t="s">
        <v>68</v>
      </c>
      <c r="D22" s="64">
        <v>13</v>
      </c>
      <c r="E22" s="64">
        <v>28</v>
      </c>
      <c r="F22" s="64">
        <v>23</v>
      </c>
      <c r="G22" s="64">
        <v>16</v>
      </c>
      <c r="H22" s="65"/>
      <c r="I22" s="65"/>
      <c r="J22" s="65"/>
      <c r="K22" s="65"/>
      <c r="L22" s="65"/>
      <c r="M22" s="65"/>
      <c r="N22" s="65"/>
      <c r="O22" s="65"/>
      <c r="P22" s="66">
        <f t="shared" si="0"/>
        <v>80</v>
      </c>
    </row>
    <row r="23" spans="1:16">
      <c r="A23" s="3">
        <v>21</v>
      </c>
      <c r="B23" s="3" t="s">
        <v>2</v>
      </c>
      <c r="C23" s="74" t="s">
        <v>69</v>
      </c>
      <c r="D23" s="64">
        <v>22</v>
      </c>
      <c r="E23" s="64">
        <v>17</v>
      </c>
      <c r="F23" s="64">
        <v>18</v>
      </c>
      <c r="G23" s="64">
        <v>18</v>
      </c>
      <c r="H23" s="65"/>
      <c r="I23" s="65"/>
      <c r="J23" s="65"/>
      <c r="K23" s="65"/>
      <c r="L23" s="65"/>
      <c r="M23" s="65"/>
      <c r="N23" s="65"/>
      <c r="O23" s="65"/>
      <c r="P23" s="66">
        <f t="shared" si="0"/>
        <v>75</v>
      </c>
    </row>
    <row r="24" spans="1:16">
      <c r="A24" s="3">
        <v>22</v>
      </c>
      <c r="B24" s="3" t="s">
        <v>2</v>
      </c>
      <c r="C24" s="74" t="s">
        <v>70</v>
      </c>
      <c r="D24" s="64">
        <v>26</v>
      </c>
      <c r="E24" s="64">
        <v>24</v>
      </c>
      <c r="F24" s="64">
        <v>16</v>
      </c>
      <c r="G24" s="64">
        <v>11</v>
      </c>
      <c r="H24" s="65"/>
      <c r="I24" s="65"/>
      <c r="J24" s="65"/>
      <c r="K24" s="65"/>
      <c r="L24" s="65"/>
      <c r="M24" s="65"/>
      <c r="N24" s="65"/>
      <c r="O24" s="65"/>
      <c r="P24" s="66">
        <f t="shared" si="0"/>
        <v>77</v>
      </c>
    </row>
    <row r="25" spans="1:16">
      <c r="A25" s="3">
        <v>23</v>
      </c>
      <c r="B25" s="3" t="s">
        <v>2</v>
      </c>
      <c r="C25" s="74" t="s">
        <v>71</v>
      </c>
      <c r="D25" s="64">
        <v>18</v>
      </c>
      <c r="E25" s="64">
        <v>12</v>
      </c>
      <c r="F25" s="64">
        <v>12</v>
      </c>
      <c r="G25" s="64">
        <v>27</v>
      </c>
      <c r="H25" s="65"/>
      <c r="I25" s="65"/>
      <c r="J25" s="65"/>
      <c r="K25" s="65"/>
      <c r="L25" s="65"/>
      <c r="M25" s="65"/>
      <c r="N25" s="65"/>
      <c r="O25" s="65"/>
      <c r="P25" s="66">
        <f t="shared" si="0"/>
        <v>69</v>
      </c>
    </row>
    <row r="26" spans="1:16">
      <c r="A26" s="3">
        <v>24</v>
      </c>
      <c r="B26" s="3" t="s">
        <v>2</v>
      </c>
      <c r="C26" s="74" t="s">
        <v>72</v>
      </c>
      <c r="D26" s="64">
        <v>12</v>
      </c>
      <c r="E26" s="64">
        <v>16</v>
      </c>
      <c r="F26" s="64">
        <v>11</v>
      </c>
      <c r="G26" s="64">
        <v>15</v>
      </c>
      <c r="H26" s="65"/>
      <c r="I26" s="65"/>
      <c r="J26" s="65"/>
      <c r="K26" s="65"/>
      <c r="L26" s="65"/>
      <c r="M26" s="65"/>
      <c r="N26" s="65"/>
      <c r="O26" s="65"/>
      <c r="P26" s="66">
        <f t="shared" si="0"/>
        <v>54</v>
      </c>
    </row>
    <row r="27" spans="1:16">
      <c r="A27" s="3">
        <v>25</v>
      </c>
      <c r="B27" s="3" t="s">
        <v>2</v>
      </c>
      <c r="C27" s="74" t="s">
        <v>73</v>
      </c>
      <c r="D27" s="64">
        <v>6</v>
      </c>
      <c r="E27" s="64">
        <v>11</v>
      </c>
      <c r="F27" s="64">
        <v>17</v>
      </c>
      <c r="G27" s="64">
        <v>17</v>
      </c>
      <c r="H27" s="65"/>
      <c r="I27" s="65"/>
      <c r="J27" s="65"/>
      <c r="K27" s="65"/>
      <c r="L27" s="65"/>
      <c r="M27" s="65"/>
      <c r="N27" s="65"/>
      <c r="O27" s="65"/>
      <c r="P27" s="66">
        <f t="shared" si="0"/>
        <v>51</v>
      </c>
    </row>
    <row r="28" spans="1:16">
      <c r="A28" s="3">
        <v>26</v>
      </c>
      <c r="B28" s="3" t="s">
        <v>2</v>
      </c>
      <c r="C28" s="74" t="s">
        <v>74</v>
      </c>
      <c r="D28" s="64">
        <v>16</v>
      </c>
      <c r="E28" s="64">
        <v>17</v>
      </c>
      <c r="F28" s="64">
        <v>12</v>
      </c>
      <c r="G28" s="64">
        <v>5</v>
      </c>
      <c r="H28" s="65"/>
      <c r="I28" s="65"/>
      <c r="J28" s="65"/>
      <c r="K28" s="65"/>
      <c r="L28" s="65"/>
      <c r="M28" s="65"/>
      <c r="N28" s="65"/>
      <c r="O28" s="65"/>
      <c r="P28" s="66">
        <f t="shared" si="0"/>
        <v>50</v>
      </c>
    </row>
    <row r="29" spans="1:16">
      <c r="A29" s="3">
        <v>27</v>
      </c>
      <c r="B29" s="3" t="s">
        <v>2</v>
      </c>
      <c r="C29" s="74" t="s">
        <v>75</v>
      </c>
      <c r="D29" s="64">
        <v>8</v>
      </c>
      <c r="E29" s="64">
        <v>15</v>
      </c>
      <c r="F29" s="64">
        <v>9</v>
      </c>
      <c r="G29" s="64">
        <v>17</v>
      </c>
      <c r="H29" s="65"/>
      <c r="I29" s="65"/>
      <c r="J29" s="65"/>
      <c r="K29" s="65"/>
      <c r="L29" s="65"/>
      <c r="M29" s="65"/>
      <c r="N29" s="65"/>
      <c r="O29" s="65"/>
      <c r="P29" s="66">
        <f t="shared" si="0"/>
        <v>49</v>
      </c>
    </row>
    <row r="30" spans="1:16">
      <c r="A30" s="3">
        <v>28</v>
      </c>
      <c r="B30" s="3" t="s">
        <v>2</v>
      </c>
      <c r="C30" s="74" t="s">
        <v>76</v>
      </c>
      <c r="D30" s="64">
        <v>10</v>
      </c>
      <c r="E30" s="64">
        <v>10</v>
      </c>
      <c r="F30" s="64">
        <v>12</v>
      </c>
      <c r="G30" s="64">
        <v>15</v>
      </c>
      <c r="H30" s="65"/>
      <c r="I30" s="65"/>
      <c r="J30" s="65"/>
      <c r="K30" s="65"/>
      <c r="L30" s="65"/>
      <c r="M30" s="65"/>
      <c r="N30" s="65"/>
      <c r="O30" s="65"/>
      <c r="P30" s="66">
        <f t="shared" si="0"/>
        <v>47</v>
      </c>
    </row>
    <row r="31" spans="1:16">
      <c r="A31" s="3">
        <v>29</v>
      </c>
      <c r="B31" s="3" t="s">
        <v>2</v>
      </c>
      <c r="C31" s="74" t="s">
        <v>77</v>
      </c>
      <c r="D31" s="64">
        <v>10</v>
      </c>
      <c r="E31" s="64">
        <v>12</v>
      </c>
      <c r="F31" s="64">
        <v>17</v>
      </c>
      <c r="G31" s="64">
        <v>5</v>
      </c>
      <c r="H31" s="65"/>
      <c r="I31" s="65"/>
      <c r="J31" s="65"/>
      <c r="K31" s="65"/>
      <c r="L31" s="65"/>
      <c r="M31" s="65"/>
      <c r="N31" s="65"/>
      <c r="O31" s="65"/>
      <c r="P31" s="66">
        <f t="shared" si="0"/>
        <v>44</v>
      </c>
    </row>
    <row r="32" spans="1:16">
      <c r="A32" s="3">
        <v>30</v>
      </c>
      <c r="B32" s="3" t="s">
        <v>2</v>
      </c>
      <c r="C32" s="74" t="s">
        <v>78</v>
      </c>
      <c r="D32" s="64">
        <v>17</v>
      </c>
      <c r="E32" s="64">
        <v>11</v>
      </c>
      <c r="F32" s="64">
        <v>8</v>
      </c>
      <c r="G32" s="64">
        <v>7</v>
      </c>
      <c r="H32" s="65"/>
      <c r="I32" s="65"/>
      <c r="J32" s="65"/>
      <c r="K32" s="65"/>
      <c r="L32" s="65"/>
      <c r="M32" s="65"/>
      <c r="N32" s="65"/>
      <c r="O32" s="65"/>
      <c r="P32" s="66">
        <f t="shared" si="0"/>
        <v>43</v>
      </c>
    </row>
    <row r="33" spans="1:16">
      <c r="A33" s="3">
        <v>31</v>
      </c>
      <c r="B33" s="3" t="s">
        <v>2</v>
      </c>
      <c r="C33" s="74" t="s">
        <v>79</v>
      </c>
      <c r="D33" s="64">
        <v>12</v>
      </c>
      <c r="E33" s="64">
        <v>12</v>
      </c>
      <c r="F33" s="64">
        <v>10</v>
      </c>
      <c r="G33" s="64">
        <v>8</v>
      </c>
      <c r="H33" s="65"/>
      <c r="I33" s="65"/>
      <c r="J33" s="65"/>
      <c r="K33" s="65"/>
      <c r="L33" s="65"/>
      <c r="M33" s="65"/>
      <c r="N33" s="65"/>
      <c r="O33" s="65"/>
      <c r="P33" s="66">
        <f t="shared" si="0"/>
        <v>42</v>
      </c>
    </row>
    <row r="34" spans="1:16">
      <c r="A34" s="3">
        <v>32</v>
      </c>
      <c r="B34" s="3" t="s">
        <v>2</v>
      </c>
      <c r="C34" s="74" t="s">
        <v>80</v>
      </c>
      <c r="D34" s="64">
        <v>9</v>
      </c>
      <c r="E34" s="64">
        <v>8</v>
      </c>
      <c r="F34" s="64">
        <v>10</v>
      </c>
      <c r="G34" s="64">
        <v>11</v>
      </c>
      <c r="H34" s="65"/>
      <c r="I34" s="65"/>
      <c r="J34" s="65"/>
      <c r="K34" s="65"/>
      <c r="L34" s="65"/>
      <c r="M34" s="65"/>
      <c r="N34" s="65"/>
      <c r="O34" s="65"/>
      <c r="P34" s="66">
        <f t="shared" si="0"/>
        <v>38</v>
      </c>
    </row>
    <row r="35" spans="1:16">
      <c r="A35" s="3">
        <v>33</v>
      </c>
      <c r="B35" s="3" t="s">
        <v>2</v>
      </c>
      <c r="C35" s="74" t="s">
        <v>81</v>
      </c>
      <c r="D35" s="64">
        <v>6</v>
      </c>
      <c r="E35" s="64">
        <v>7</v>
      </c>
      <c r="F35" s="64">
        <v>10</v>
      </c>
      <c r="G35" s="64">
        <v>15</v>
      </c>
      <c r="H35" s="65"/>
      <c r="I35" s="65"/>
      <c r="J35" s="65"/>
      <c r="K35" s="65"/>
      <c r="L35" s="65"/>
      <c r="M35" s="65"/>
      <c r="N35" s="65"/>
      <c r="O35" s="65"/>
      <c r="P35" s="66">
        <f t="shared" si="0"/>
        <v>38</v>
      </c>
    </row>
    <row r="36" spans="1:16">
      <c r="A36" s="3">
        <v>34</v>
      </c>
      <c r="B36" s="3" t="s">
        <v>2</v>
      </c>
      <c r="C36" s="74" t="s">
        <v>82</v>
      </c>
      <c r="D36" s="64">
        <v>8</v>
      </c>
      <c r="E36" s="64">
        <v>7</v>
      </c>
      <c r="F36" s="64">
        <v>9</v>
      </c>
      <c r="G36" s="64">
        <v>12</v>
      </c>
      <c r="H36" s="65"/>
      <c r="I36" s="65"/>
      <c r="J36" s="65"/>
      <c r="K36" s="65"/>
      <c r="L36" s="65"/>
      <c r="M36" s="65"/>
      <c r="N36" s="65"/>
      <c r="O36" s="65"/>
      <c r="P36" s="66">
        <f t="shared" si="0"/>
        <v>36</v>
      </c>
    </row>
    <row r="37" spans="1:16">
      <c r="A37" s="3">
        <v>35</v>
      </c>
      <c r="B37" s="3" t="s">
        <v>2</v>
      </c>
      <c r="C37" s="74" t="s">
        <v>83</v>
      </c>
      <c r="D37" s="64">
        <v>6</v>
      </c>
      <c r="E37" s="64">
        <v>11</v>
      </c>
      <c r="F37" s="64">
        <v>7</v>
      </c>
      <c r="G37" s="64">
        <v>10</v>
      </c>
      <c r="H37" s="65"/>
      <c r="I37" s="65"/>
      <c r="J37" s="65"/>
      <c r="K37" s="65"/>
      <c r="L37" s="65"/>
      <c r="M37" s="65"/>
      <c r="N37" s="65"/>
      <c r="O37" s="65"/>
      <c r="P37" s="66">
        <f t="shared" si="0"/>
        <v>34</v>
      </c>
    </row>
    <row r="38" spans="1:16">
      <c r="A38" s="3">
        <v>36</v>
      </c>
      <c r="B38" s="3" t="s">
        <v>2</v>
      </c>
      <c r="C38" s="74" t="s">
        <v>84</v>
      </c>
      <c r="D38" s="64">
        <v>8</v>
      </c>
      <c r="E38" s="64">
        <v>7</v>
      </c>
      <c r="F38" s="64">
        <v>9</v>
      </c>
      <c r="G38" s="64">
        <v>8</v>
      </c>
      <c r="H38" s="65"/>
      <c r="I38" s="65"/>
      <c r="J38" s="65"/>
      <c r="K38" s="65"/>
      <c r="L38" s="65"/>
      <c r="M38" s="65"/>
      <c r="N38" s="65"/>
      <c r="O38" s="65"/>
      <c r="P38" s="66">
        <f t="shared" si="0"/>
        <v>32</v>
      </c>
    </row>
    <row r="39" spans="1:16">
      <c r="A39" s="3">
        <v>37</v>
      </c>
      <c r="B39" s="3" t="s">
        <v>2</v>
      </c>
      <c r="C39" s="74" t="s">
        <v>85</v>
      </c>
      <c r="D39" s="64">
        <v>7</v>
      </c>
      <c r="E39" s="64">
        <v>10</v>
      </c>
      <c r="F39" s="64">
        <v>8</v>
      </c>
      <c r="G39" s="64">
        <v>5</v>
      </c>
      <c r="H39" s="65"/>
      <c r="I39" s="65"/>
      <c r="J39" s="65"/>
      <c r="K39" s="65"/>
      <c r="L39" s="65"/>
      <c r="M39" s="65"/>
      <c r="N39" s="65"/>
      <c r="O39" s="65"/>
      <c r="P39" s="66">
        <f t="shared" si="0"/>
        <v>30</v>
      </c>
    </row>
    <row r="40" spans="1:16">
      <c r="A40" s="3">
        <v>38</v>
      </c>
      <c r="B40" s="3" t="s">
        <v>2</v>
      </c>
      <c r="C40" s="74" t="s">
        <v>86</v>
      </c>
      <c r="D40" s="64">
        <v>8</v>
      </c>
      <c r="E40" s="64">
        <v>4</v>
      </c>
      <c r="F40" s="64">
        <v>10</v>
      </c>
      <c r="G40" s="64">
        <v>7</v>
      </c>
      <c r="H40" s="65"/>
      <c r="I40" s="65"/>
      <c r="J40" s="65"/>
      <c r="K40" s="65"/>
      <c r="L40" s="65"/>
      <c r="M40" s="65"/>
      <c r="N40" s="65"/>
      <c r="O40" s="65"/>
      <c r="P40" s="66">
        <f t="shared" si="0"/>
        <v>29</v>
      </c>
    </row>
    <row r="41" spans="1:16">
      <c r="A41" s="3">
        <v>39</v>
      </c>
      <c r="B41" s="3" t="s">
        <v>2</v>
      </c>
      <c r="C41" s="74" t="s">
        <v>87</v>
      </c>
      <c r="D41" s="64">
        <v>9</v>
      </c>
      <c r="E41" s="64">
        <v>12</v>
      </c>
      <c r="F41" s="64">
        <v>2</v>
      </c>
      <c r="G41" s="64">
        <v>2</v>
      </c>
      <c r="H41" s="65"/>
      <c r="I41" s="65"/>
      <c r="J41" s="65"/>
      <c r="K41" s="65"/>
      <c r="L41" s="65"/>
      <c r="M41" s="65"/>
      <c r="N41" s="65"/>
      <c r="O41" s="65"/>
      <c r="P41" s="66">
        <f t="shared" si="0"/>
        <v>25</v>
      </c>
    </row>
    <row r="42" spans="1:16">
      <c r="A42" s="3">
        <v>40</v>
      </c>
      <c r="B42" s="3" t="s">
        <v>2</v>
      </c>
      <c r="C42" s="74" t="s">
        <v>88</v>
      </c>
      <c r="D42" s="64">
        <v>5</v>
      </c>
      <c r="E42" s="64">
        <v>7</v>
      </c>
      <c r="F42" s="64">
        <v>6</v>
      </c>
      <c r="G42" s="64">
        <v>5</v>
      </c>
      <c r="H42" s="65"/>
      <c r="I42" s="65"/>
      <c r="J42" s="65"/>
      <c r="K42" s="65"/>
      <c r="L42" s="65"/>
      <c r="M42" s="65"/>
      <c r="N42" s="65"/>
      <c r="O42" s="65"/>
      <c r="P42" s="66">
        <f t="shared" si="0"/>
        <v>23</v>
      </c>
    </row>
    <row r="43" spans="1:16">
      <c r="A43" s="3">
        <v>41</v>
      </c>
      <c r="B43" s="3" t="s">
        <v>2</v>
      </c>
      <c r="C43" s="74" t="s">
        <v>89</v>
      </c>
      <c r="D43" s="64">
        <v>15</v>
      </c>
      <c r="E43" s="64">
        <v>2</v>
      </c>
      <c r="F43" s="64">
        <v>6</v>
      </c>
      <c r="G43" s="64">
        <v>1</v>
      </c>
      <c r="H43" s="65"/>
      <c r="I43" s="65"/>
      <c r="J43" s="65"/>
      <c r="K43" s="65"/>
      <c r="L43" s="65"/>
      <c r="M43" s="65"/>
      <c r="N43" s="65"/>
      <c r="O43" s="65"/>
      <c r="P43" s="66">
        <f t="shared" si="0"/>
        <v>24</v>
      </c>
    </row>
    <row r="44" spans="1:16">
      <c r="A44" s="3">
        <v>42</v>
      </c>
      <c r="B44" s="3" t="s">
        <v>2</v>
      </c>
      <c r="C44" s="74" t="s">
        <v>90</v>
      </c>
      <c r="D44" s="64">
        <v>4</v>
      </c>
      <c r="E44" s="64">
        <v>3</v>
      </c>
      <c r="F44" s="64">
        <v>7</v>
      </c>
      <c r="G44" s="64">
        <v>8</v>
      </c>
      <c r="H44" s="65"/>
      <c r="I44" s="65"/>
      <c r="J44" s="65"/>
      <c r="K44" s="65"/>
      <c r="L44" s="65"/>
      <c r="M44" s="65"/>
      <c r="N44" s="65"/>
      <c r="O44" s="65"/>
      <c r="P44" s="66">
        <f t="shared" si="0"/>
        <v>22</v>
      </c>
    </row>
    <row r="45" spans="1:16">
      <c r="A45" s="3">
        <v>43</v>
      </c>
      <c r="B45" s="3" t="s">
        <v>2</v>
      </c>
      <c r="C45" s="74" t="s">
        <v>91</v>
      </c>
      <c r="D45" s="64">
        <v>4</v>
      </c>
      <c r="E45" s="64">
        <v>5</v>
      </c>
      <c r="F45" s="64">
        <v>9</v>
      </c>
      <c r="G45" s="64">
        <v>3</v>
      </c>
      <c r="H45" s="65"/>
      <c r="I45" s="65"/>
      <c r="J45" s="65"/>
      <c r="K45" s="65"/>
      <c r="L45" s="65"/>
      <c r="M45" s="65"/>
      <c r="N45" s="65"/>
      <c r="O45" s="65"/>
      <c r="P45" s="66">
        <f t="shared" si="0"/>
        <v>21</v>
      </c>
    </row>
    <row r="46" spans="1:16">
      <c r="A46" s="3">
        <v>44</v>
      </c>
      <c r="B46" s="3" t="s">
        <v>2</v>
      </c>
      <c r="C46" s="74" t="s">
        <v>92</v>
      </c>
      <c r="D46" s="64">
        <v>6</v>
      </c>
      <c r="E46" s="64">
        <v>2</v>
      </c>
      <c r="F46" s="64">
        <v>3</v>
      </c>
      <c r="G46" s="64">
        <v>9</v>
      </c>
      <c r="H46" s="65"/>
      <c r="I46" s="65"/>
      <c r="J46" s="65"/>
      <c r="K46" s="65"/>
      <c r="L46" s="65"/>
      <c r="M46" s="65"/>
      <c r="N46" s="65"/>
      <c r="O46" s="65"/>
      <c r="P46" s="66">
        <f t="shared" si="0"/>
        <v>20</v>
      </c>
    </row>
    <row r="47" spans="1:16">
      <c r="A47" s="3">
        <v>45</v>
      </c>
      <c r="B47" s="3" t="s">
        <v>2</v>
      </c>
      <c r="C47" s="74" t="s">
        <v>93</v>
      </c>
      <c r="D47" s="64">
        <v>3</v>
      </c>
      <c r="E47" s="64">
        <v>3</v>
      </c>
      <c r="F47" s="64">
        <v>7</v>
      </c>
      <c r="G47" s="64">
        <v>6</v>
      </c>
      <c r="H47" s="65"/>
      <c r="I47" s="65"/>
      <c r="J47" s="65"/>
      <c r="K47" s="65"/>
      <c r="L47" s="65"/>
      <c r="M47" s="65"/>
      <c r="N47" s="65"/>
      <c r="O47" s="65"/>
      <c r="P47" s="66">
        <f t="shared" si="0"/>
        <v>19</v>
      </c>
    </row>
    <row r="48" spans="1:16">
      <c r="A48" s="3">
        <v>46</v>
      </c>
      <c r="B48" s="3" t="s">
        <v>2</v>
      </c>
      <c r="C48" s="74" t="s">
        <v>94</v>
      </c>
      <c r="D48" s="64">
        <v>2</v>
      </c>
      <c r="E48" s="64">
        <v>6</v>
      </c>
      <c r="F48" s="64">
        <v>4</v>
      </c>
      <c r="G48" s="64">
        <v>6</v>
      </c>
      <c r="H48" s="65"/>
      <c r="I48" s="65"/>
      <c r="J48" s="65"/>
      <c r="K48" s="65"/>
      <c r="L48" s="65"/>
      <c r="M48" s="65"/>
      <c r="N48" s="65"/>
      <c r="O48" s="65"/>
      <c r="P48" s="66">
        <f t="shared" si="0"/>
        <v>18</v>
      </c>
    </row>
    <row r="49" spans="1:16">
      <c r="A49" s="3">
        <v>47</v>
      </c>
      <c r="B49" s="3" t="s">
        <v>2</v>
      </c>
      <c r="C49" s="74" t="s">
        <v>95</v>
      </c>
      <c r="D49" s="64">
        <v>7</v>
      </c>
      <c r="E49" s="64">
        <v>3</v>
      </c>
      <c r="F49" s="64">
        <v>5</v>
      </c>
      <c r="G49" s="64">
        <v>3</v>
      </c>
      <c r="H49" s="65"/>
      <c r="I49" s="65"/>
      <c r="J49" s="65"/>
      <c r="K49" s="65"/>
      <c r="L49" s="65"/>
      <c r="M49" s="65"/>
      <c r="N49" s="65"/>
      <c r="O49" s="65"/>
      <c r="P49" s="66">
        <f t="shared" si="0"/>
        <v>18</v>
      </c>
    </row>
    <row r="50" spans="1:16">
      <c r="A50" s="3">
        <v>48</v>
      </c>
      <c r="B50" s="3" t="s">
        <v>2</v>
      </c>
      <c r="C50" s="74" t="s">
        <v>96</v>
      </c>
      <c r="D50" s="64">
        <v>5</v>
      </c>
      <c r="E50" s="64">
        <v>4</v>
      </c>
      <c r="F50" s="64">
        <v>4</v>
      </c>
      <c r="G50" s="64">
        <v>5</v>
      </c>
      <c r="H50" s="65"/>
      <c r="I50" s="65"/>
      <c r="J50" s="65"/>
      <c r="K50" s="65"/>
      <c r="L50" s="65"/>
      <c r="M50" s="65"/>
      <c r="N50" s="65"/>
      <c r="O50" s="65"/>
      <c r="P50" s="66">
        <f t="shared" si="0"/>
        <v>18</v>
      </c>
    </row>
    <row r="51" spans="1:16">
      <c r="A51" s="3">
        <v>49</v>
      </c>
      <c r="B51" s="3" t="s">
        <v>2</v>
      </c>
      <c r="C51" s="74" t="s">
        <v>97</v>
      </c>
      <c r="D51" s="64">
        <v>5</v>
      </c>
      <c r="E51" s="64">
        <v>4</v>
      </c>
      <c r="F51" s="64">
        <v>5</v>
      </c>
      <c r="G51" s="64">
        <v>3</v>
      </c>
      <c r="H51" s="65"/>
      <c r="I51" s="65"/>
      <c r="J51" s="65"/>
      <c r="K51" s="65"/>
      <c r="L51" s="65"/>
      <c r="M51" s="65"/>
      <c r="N51" s="65"/>
      <c r="O51" s="65"/>
      <c r="P51" s="66">
        <f t="shared" si="0"/>
        <v>17</v>
      </c>
    </row>
    <row r="52" spans="1:16">
      <c r="A52" s="3">
        <v>50</v>
      </c>
      <c r="B52" s="3" t="s">
        <v>2</v>
      </c>
      <c r="C52" s="74" t="s">
        <v>98</v>
      </c>
      <c r="D52" s="64">
        <v>1</v>
      </c>
      <c r="E52" s="64">
        <v>5</v>
      </c>
      <c r="F52" s="64">
        <v>4</v>
      </c>
      <c r="G52" s="64">
        <v>5</v>
      </c>
      <c r="H52" s="65"/>
      <c r="I52" s="65"/>
      <c r="J52" s="65"/>
      <c r="K52" s="65"/>
      <c r="L52" s="65"/>
      <c r="M52" s="65"/>
      <c r="N52" s="65"/>
      <c r="O52" s="65"/>
      <c r="P52" s="66">
        <f t="shared" si="0"/>
        <v>15</v>
      </c>
    </row>
    <row r="53" spans="1:16">
      <c r="A53" s="3">
        <v>51</v>
      </c>
      <c r="B53" s="3" t="s">
        <v>2</v>
      </c>
      <c r="C53" s="74" t="s">
        <v>99</v>
      </c>
      <c r="D53" s="64">
        <v>6</v>
      </c>
      <c r="E53" s="64">
        <v>2</v>
      </c>
      <c r="F53" s="64">
        <v>5</v>
      </c>
      <c r="G53" s="64"/>
      <c r="H53" s="65"/>
      <c r="I53" s="65"/>
      <c r="J53" s="65"/>
      <c r="K53" s="65"/>
      <c r="L53" s="65"/>
      <c r="M53" s="65"/>
      <c r="N53" s="65"/>
      <c r="O53" s="65"/>
      <c r="P53" s="66">
        <f t="shared" si="0"/>
        <v>13</v>
      </c>
    </row>
    <row r="54" spans="1:16">
      <c r="A54" s="3">
        <v>52</v>
      </c>
      <c r="B54" s="3" t="s">
        <v>2</v>
      </c>
      <c r="C54" s="74" t="s">
        <v>100</v>
      </c>
      <c r="D54" s="64">
        <v>3</v>
      </c>
      <c r="E54" s="64">
        <v>1</v>
      </c>
      <c r="F54" s="64">
        <v>3</v>
      </c>
      <c r="G54" s="64">
        <v>3</v>
      </c>
      <c r="H54" s="65"/>
      <c r="I54" s="65"/>
      <c r="J54" s="65"/>
      <c r="K54" s="65"/>
      <c r="L54" s="65"/>
      <c r="M54" s="65"/>
      <c r="N54" s="65"/>
      <c r="O54" s="65"/>
      <c r="P54" s="66">
        <f t="shared" si="0"/>
        <v>10</v>
      </c>
    </row>
    <row r="55" spans="1:16">
      <c r="A55" s="3">
        <v>53</v>
      </c>
      <c r="B55" s="3" t="s">
        <v>2</v>
      </c>
      <c r="C55" s="74" t="s">
        <v>101</v>
      </c>
      <c r="D55" s="64">
        <v>3</v>
      </c>
      <c r="E55" s="64">
        <v>3</v>
      </c>
      <c r="F55" s="64">
        <v>3</v>
      </c>
      <c r="G55" s="64"/>
      <c r="H55" s="65"/>
      <c r="I55" s="65"/>
      <c r="J55" s="65"/>
      <c r="K55" s="65"/>
      <c r="L55" s="65"/>
      <c r="M55" s="65"/>
      <c r="N55" s="65"/>
      <c r="O55" s="65"/>
      <c r="P55" s="66">
        <f t="shared" si="0"/>
        <v>9</v>
      </c>
    </row>
    <row r="56" spans="1:16">
      <c r="A56" s="3">
        <v>54</v>
      </c>
      <c r="B56" s="3" t="s">
        <v>2</v>
      </c>
      <c r="C56" s="74" t="s">
        <v>102</v>
      </c>
      <c r="D56" s="64">
        <v>2</v>
      </c>
      <c r="E56" s="64">
        <v>1</v>
      </c>
      <c r="F56" s="64"/>
      <c r="G56" s="64">
        <v>6</v>
      </c>
      <c r="H56" s="65"/>
      <c r="I56" s="65"/>
      <c r="J56" s="65"/>
      <c r="K56" s="65"/>
      <c r="L56" s="65"/>
      <c r="M56" s="65"/>
      <c r="N56" s="65"/>
      <c r="O56" s="65"/>
      <c r="P56" s="66">
        <f t="shared" si="0"/>
        <v>9</v>
      </c>
    </row>
    <row r="57" spans="1:16">
      <c r="A57" s="3">
        <v>55</v>
      </c>
      <c r="B57" s="3" t="s">
        <v>2</v>
      </c>
      <c r="C57" s="74" t="s">
        <v>103</v>
      </c>
      <c r="D57" s="64">
        <v>4</v>
      </c>
      <c r="E57" s="64">
        <v>1</v>
      </c>
      <c r="F57" s="64">
        <v>1</v>
      </c>
      <c r="G57" s="64">
        <v>2</v>
      </c>
      <c r="H57" s="65"/>
      <c r="I57" s="65"/>
      <c r="J57" s="65"/>
      <c r="K57" s="65"/>
      <c r="L57" s="65"/>
      <c r="M57" s="65"/>
      <c r="N57" s="65"/>
      <c r="O57" s="65"/>
      <c r="P57" s="66">
        <f t="shared" si="0"/>
        <v>8</v>
      </c>
    </row>
    <row r="58" spans="1:16">
      <c r="A58" s="3">
        <v>56</v>
      </c>
      <c r="B58" s="3" t="s">
        <v>2</v>
      </c>
      <c r="C58" s="74" t="s">
        <v>104</v>
      </c>
      <c r="D58" s="64"/>
      <c r="E58" s="64">
        <v>2</v>
      </c>
      <c r="F58" s="64">
        <v>5</v>
      </c>
      <c r="G58" s="64">
        <v>1</v>
      </c>
      <c r="H58" s="65"/>
      <c r="I58" s="65"/>
      <c r="J58" s="65"/>
      <c r="K58" s="65"/>
      <c r="L58" s="65"/>
      <c r="M58" s="65"/>
      <c r="N58" s="65"/>
      <c r="O58" s="65"/>
      <c r="P58" s="66">
        <f t="shared" si="0"/>
        <v>8</v>
      </c>
    </row>
    <row r="59" spans="1:16">
      <c r="A59" s="3">
        <v>57</v>
      </c>
      <c r="B59" s="3" t="s">
        <v>2</v>
      </c>
      <c r="C59" s="74" t="s">
        <v>105</v>
      </c>
      <c r="D59" s="64">
        <v>1</v>
      </c>
      <c r="E59" s="64">
        <v>1</v>
      </c>
      <c r="F59" s="64">
        <v>1</v>
      </c>
      <c r="G59" s="64">
        <v>4</v>
      </c>
      <c r="H59" s="65"/>
      <c r="I59" s="65"/>
      <c r="J59" s="65"/>
      <c r="K59" s="65"/>
      <c r="L59" s="65"/>
      <c r="M59" s="65"/>
      <c r="N59" s="65"/>
      <c r="O59" s="65"/>
      <c r="P59" s="66">
        <f t="shared" si="0"/>
        <v>7</v>
      </c>
    </row>
    <row r="60" spans="1:16">
      <c r="A60" s="3">
        <v>58</v>
      </c>
      <c r="B60" s="3" t="s">
        <v>2</v>
      </c>
      <c r="C60" s="74" t="s">
        <v>106</v>
      </c>
      <c r="D60" s="64">
        <v>2</v>
      </c>
      <c r="E60" s="64">
        <v>2</v>
      </c>
      <c r="F60" s="64">
        <v>2</v>
      </c>
      <c r="G60" s="64">
        <v>1</v>
      </c>
      <c r="H60" s="65"/>
      <c r="I60" s="65"/>
      <c r="J60" s="65"/>
      <c r="K60" s="65"/>
      <c r="L60" s="65"/>
      <c r="M60" s="65"/>
      <c r="N60" s="65"/>
      <c r="O60" s="65"/>
      <c r="P60" s="66">
        <f t="shared" si="0"/>
        <v>7</v>
      </c>
    </row>
    <row r="61" spans="1:16">
      <c r="A61" s="3">
        <v>59</v>
      </c>
      <c r="B61" s="3" t="s">
        <v>2</v>
      </c>
      <c r="C61" s="74" t="s">
        <v>107</v>
      </c>
      <c r="D61" s="64">
        <v>1</v>
      </c>
      <c r="E61" s="64">
        <v>1</v>
      </c>
      <c r="F61" s="64">
        <v>2</v>
      </c>
      <c r="G61" s="64">
        <v>1</v>
      </c>
      <c r="H61" s="65"/>
      <c r="I61" s="65"/>
      <c r="J61" s="65"/>
      <c r="K61" s="65"/>
      <c r="L61" s="65"/>
      <c r="M61" s="65"/>
      <c r="N61" s="65"/>
      <c r="O61" s="65"/>
      <c r="P61" s="66">
        <f t="shared" si="0"/>
        <v>5</v>
      </c>
    </row>
    <row r="62" spans="1:16">
      <c r="A62" s="3">
        <v>60</v>
      </c>
      <c r="B62" s="3" t="s">
        <v>2</v>
      </c>
      <c r="C62" s="74" t="s">
        <v>108</v>
      </c>
      <c r="D62" s="64"/>
      <c r="E62" s="64">
        <v>2</v>
      </c>
      <c r="F62" s="64">
        <v>2</v>
      </c>
      <c r="G62" s="64">
        <v>2</v>
      </c>
      <c r="H62" s="65"/>
      <c r="I62" s="65"/>
      <c r="J62" s="65"/>
      <c r="K62" s="65"/>
      <c r="L62" s="65"/>
      <c r="M62" s="65"/>
      <c r="N62" s="65"/>
      <c r="O62" s="65"/>
      <c r="P62" s="66">
        <f t="shared" si="0"/>
        <v>6</v>
      </c>
    </row>
    <row r="63" spans="1:16">
      <c r="A63" s="3">
        <v>61</v>
      </c>
      <c r="B63" s="3" t="s">
        <v>2</v>
      </c>
      <c r="C63" s="74" t="s">
        <v>109</v>
      </c>
      <c r="D63" s="64">
        <v>1</v>
      </c>
      <c r="E63" s="64">
        <v>3</v>
      </c>
      <c r="F63" s="64">
        <v>1</v>
      </c>
      <c r="G63" s="64">
        <v>1</v>
      </c>
      <c r="H63" s="65"/>
      <c r="I63" s="65"/>
      <c r="J63" s="65"/>
      <c r="K63" s="65"/>
      <c r="L63" s="65"/>
      <c r="M63" s="65"/>
      <c r="N63" s="65"/>
      <c r="O63" s="65"/>
      <c r="P63" s="66">
        <f t="shared" si="0"/>
        <v>6</v>
      </c>
    </row>
    <row r="64" spans="1:16">
      <c r="A64" s="3">
        <v>62</v>
      </c>
      <c r="B64" s="3" t="s">
        <v>2</v>
      </c>
      <c r="C64" s="74" t="s">
        <v>110</v>
      </c>
      <c r="D64" s="64">
        <v>2</v>
      </c>
      <c r="E64" s="64">
        <v>1</v>
      </c>
      <c r="F64" s="64">
        <v>2</v>
      </c>
      <c r="G64" s="64"/>
      <c r="H64" s="65"/>
      <c r="I64" s="65"/>
      <c r="J64" s="65"/>
      <c r="K64" s="65"/>
      <c r="L64" s="65"/>
      <c r="M64" s="65"/>
      <c r="N64" s="65"/>
      <c r="O64" s="65"/>
      <c r="P64" s="66">
        <f t="shared" si="0"/>
        <v>5</v>
      </c>
    </row>
    <row r="65" spans="1:16">
      <c r="A65" s="3">
        <v>63</v>
      </c>
      <c r="B65" s="3" t="s">
        <v>2</v>
      </c>
      <c r="C65" s="74" t="s">
        <v>111</v>
      </c>
      <c r="D65" s="64">
        <v>2</v>
      </c>
      <c r="E65" s="64">
        <v>1</v>
      </c>
      <c r="F65" s="64">
        <v>2</v>
      </c>
      <c r="G65" s="64"/>
      <c r="H65" s="65"/>
      <c r="I65" s="65"/>
      <c r="J65" s="65"/>
      <c r="K65" s="65"/>
      <c r="L65" s="65"/>
      <c r="M65" s="65"/>
      <c r="N65" s="65"/>
      <c r="O65" s="65"/>
      <c r="P65" s="66">
        <f t="shared" si="0"/>
        <v>5</v>
      </c>
    </row>
    <row r="66" spans="1:16">
      <c r="A66" s="3">
        <v>64</v>
      </c>
      <c r="B66" s="3" t="s">
        <v>2</v>
      </c>
      <c r="C66" s="74" t="s">
        <v>112</v>
      </c>
      <c r="D66" s="64">
        <v>1</v>
      </c>
      <c r="E66" s="64">
        <v>2</v>
      </c>
      <c r="F66" s="64">
        <v>1</v>
      </c>
      <c r="G66" s="64">
        <v>1</v>
      </c>
      <c r="H66" s="65"/>
      <c r="I66" s="65"/>
      <c r="J66" s="65"/>
      <c r="K66" s="65"/>
      <c r="L66" s="65"/>
      <c r="M66" s="65"/>
      <c r="N66" s="65"/>
      <c r="O66" s="65"/>
      <c r="P66" s="66">
        <f t="shared" si="0"/>
        <v>5</v>
      </c>
    </row>
    <row r="67" spans="1:16">
      <c r="A67" s="3">
        <v>65</v>
      </c>
      <c r="B67" s="3" t="s">
        <v>2</v>
      </c>
      <c r="C67" s="74" t="s">
        <v>113</v>
      </c>
      <c r="D67" s="64">
        <v>2</v>
      </c>
      <c r="E67" s="64"/>
      <c r="F67" s="64"/>
      <c r="G67" s="64">
        <v>1</v>
      </c>
      <c r="H67" s="65"/>
      <c r="I67" s="65"/>
      <c r="J67" s="65"/>
      <c r="K67" s="65"/>
      <c r="L67" s="65"/>
      <c r="M67" s="65"/>
      <c r="N67" s="65"/>
      <c r="O67" s="65"/>
      <c r="P67" s="66">
        <f t="shared" si="0"/>
        <v>3</v>
      </c>
    </row>
    <row r="68" spans="1:16">
      <c r="A68" s="3">
        <v>66</v>
      </c>
      <c r="B68" s="3" t="s">
        <v>2</v>
      </c>
      <c r="C68" s="74" t="s">
        <v>114</v>
      </c>
      <c r="D68" s="64">
        <v>1</v>
      </c>
      <c r="E68" s="64">
        <v>1</v>
      </c>
      <c r="F68" s="64">
        <v>1</v>
      </c>
      <c r="G68" s="64">
        <v>1</v>
      </c>
      <c r="H68" s="65"/>
      <c r="I68" s="65"/>
      <c r="J68" s="65"/>
      <c r="K68" s="65"/>
      <c r="L68" s="65"/>
      <c r="M68" s="65"/>
      <c r="N68" s="65"/>
      <c r="O68" s="65"/>
      <c r="P68" s="66">
        <f t="shared" ref="P68:P97" si="1">SUM(D68:O68)</f>
        <v>4</v>
      </c>
    </row>
    <row r="69" spans="1:16">
      <c r="A69" s="3">
        <v>67</v>
      </c>
      <c r="B69" s="3" t="s">
        <v>2</v>
      </c>
      <c r="C69" s="74" t="s">
        <v>115</v>
      </c>
      <c r="D69" s="64">
        <v>1</v>
      </c>
      <c r="E69" s="64">
        <v>2</v>
      </c>
      <c r="F69" s="64">
        <v>1</v>
      </c>
      <c r="G69" s="64"/>
      <c r="H69" s="65"/>
      <c r="I69" s="65"/>
      <c r="J69" s="65"/>
      <c r="K69" s="65"/>
      <c r="L69" s="65"/>
      <c r="M69" s="65"/>
      <c r="N69" s="65"/>
      <c r="O69" s="65"/>
      <c r="P69" s="66">
        <f t="shared" si="1"/>
        <v>4</v>
      </c>
    </row>
    <row r="70" spans="1:16">
      <c r="A70" s="3">
        <v>68</v>
      </c>
      <c r="B70" s="3" t="s">
        <v>2</v>
      </c>
      <c r="C70" s="74" t="s">
        <v>116</v>
      </c>
      <c r="D70" s="64">
        <v>2</v>
      </c>
      <c r="E70" s="64"/>
      <c r="F70" s="64">
        <v>2</v>
      </c>
      <c r="G70" s="64"/>
      <c r="H70" s="65"/>
      <c r="I70" s="65"/>
      <c r="J70" s="65"/>
      <c r="K70" s="65"/>
      <c r="L70" s="65"/>
      <c r="M70" s="65"/>
      <c r="N70" s="65"/>
      <c r="O70" s="65"/>
      <c r="P70" s="66">
        <f t="shared" si="1"/>
        <v>4</v>
      </c>
    </row>
    <row r="71" spans="1:16">
      <c r="A71" s="3">
        <v>69</v>
      </c>
      <c r="B71" s="3" t="s">
        <v>2</v>
      </c>
      <c r="C71" s="74" t="s">
        <v>117</v>
      </c>
      <c r="D71" s="64">
        <v>2</v>
      </c>
      <c r="E71" s="64"/>
      <c r="F71" s="64"/>
      <c r="G71" s="64"/>
      <c r="H71" s="65"/>
      <c r="I71" s="65"/>
      <c r="J71" s="65"/>
      <c r="K71" s="65"/>
      <c r="L71" s="65"/>
      <c r="M71" s="65"/>
      <c r="N71" s="65"/>
      <c r="O71" s="65"/>
      <c r="P71" s="66">
        <f t="shared" si="1"/>
        <v>2</v>
      </c>
    </row>
    <row r="72" spans="1:16">
      <c r="A72" s="3">
        <v>70</v>
      </c>
      <c r="B72" s="3" t="s">
        <v>2</v>
      </c>
      <c r="C72" s="74" t="s">
        <v>118</v>
      </c>
      <c r="D72" s="64"/>
      <c r="E72" s="64">
        <v>2</v>
      </c>
      <c r="F72" s="64">
        <v>1</v>
      </c>
      <c r="G72" s="64"/>
      <c r="H72" s="65"/>
      <c r="I72" s="65"/>
      <c r="J72" s="65"/>
      <c r="K72" s="65"/>
      <c r="L72" s="65"/>
      <c r="M72" s="65"/>
      <c r="N72" s="65"/>
      <c r="O72" s="65"/>
      <c r="P72" s="66">
        <f t="shared" si="1"/>
        <v>3</v>
      </c>
    </row>
    <row r="73" spans="1:16">
      <c r="A73" s="3">
        <v>71</v>
      </c>
      <c r="B73" s="3" t="s">
        <v>2</v>
      </c>
      <c r="C73" s="74" t="s">
        <v>119</v>
      </c>
      <c r="D73" s="64">
        <v>1</v>
      </c>
      <c r="E73" s="64"/>
      <c r="F73" s="64">
        <v>1</v>
      </c>
      <c r="G73" s="64">
        <v>1</v>
      </c>
      <c r="H73" s="65"/>
      <c r="I73" s="65"/>
      <c r="J73" s="65"/>
      <c r="K73" s="65"/>
      <c r="L73" s="65"/>
      <c r="M73" s="65"/>
      <c r="N73" s="65"/>
      <c r="O73" s="65"/>
      <c r="P73" s="66">
        <f t="shared" si="1"/>
        <v>3</v>
      </c>
    </row>
    <row r="74" spans="1:16">
      <c r="A74" s="3">
        <v>72</v>
      </c>
      <c r="B74" s="3" t="s">
        <v>2</v>
      </c>
      <c r="C74" s="74" t="s">
        <v>120</v>
      </c>
      <c r="D74" s="64">
        <v>1</v>
      </c>
      <c r="E74" s="64"/>
      <c r="F74" s="64"/>
      <c r="G74" s="64">
        <v>2</v>
      </c>
      <c r="H74" s="65"/>
      <c r="I74" s="65"/>
      <c r="J74" s="65"/>
      <c r="K74" s="65"/>
      <c r="L74" s="65"/>
      <c r="M74" s="65"/>
      <c r="N74" s="65"/>
      <c r="O74" s="65"/>
      <c r="P74" s="66">
        <f t="shared" si="1"/>
        <v>3</v>
      </c>
    </row>
    <row r="75" spans="1:16">
      <c r="A75" s="3">
        <v>73</v>
      </c>
      <c r="B75" s="3" t="s">
        <v>2</v>
      </c>
      <c r="C75" s="74" t="s">
        <v>121</v>
      </c>
      <c r="D75" s="64">
        <v>1</v>
      </c>
      <c r="E75" s="64"/>
      <c r="F75" s="64">
        <v>2</v>
      </c>
      <c r="G75" s="64"/>
      <c r="H75" s="65"/>
      <c r="I75" s="65"/>
      <c r="J75" s="65"/>
      <c r="K75" s="65"/>
      <c r="L75" s="65"/>
      <c r="M75" s="65"/>
      <c r="N75" s="65"/>
      <c r="O75" s="65"/>
      <c r="P75" s="66">
        <f t="shared" si="1"/>
        <v>3</v>
      </c>
    </row>
    <row r="76" spans="1:16">
      <c r="A76" s="3">
        <v>74</v>
      </c>
      <c r="B76" s="3" t="s">
        <v>2</v>
      </c>
      <c r="C76" s="74" t="s">
        <v>122</v>
      </c>
      <c r="D76" s="64"/>
      <c r="E76" s="64"/>
      <c r="F76" s="64"/>
      <c r="G76" s="64">
        <v>2</v>
      </c>
      <c r="H76" s="65"/>
      <c r="I76" s="65"/>
      <c r="J76" s="65"/>
      <c r="K76" s="65"/>
      <c r="L76" s="65"/>
      <c r="M76" s="65"/>
      <c r="N76" s="65"/>
      <c r="O76" s="65"/>
      <c r="P76" s="66">
        <f t="shared" si="1"/>
        <v>2</v>
      </c>
    </row>
    <row r="77" spans="1:16">
      <c r="A77" s="3">
        <v>75</v>
      </c>
      <c r="B77" s="3" t="s">
        <v>2</v>
      </c>
      <c r="C77" s="74" t="s">
        <v>123</v>
      </c>
      <c r="D77" s="64">
        <v>2</v>
      </c>
      <c r="E77" s="64"/>
      <c r="F77" s="64"/>
      <c r="G77" s="64"/>
      <c r="H77" s="65"/>
      <c r="I77" s="65"/>
      <c r="J77" s="65"/>
      <c r="K77" s="65"/>
      <c r="L77" s="65"/>
      <c r="M77" s="65"/>
      <c r="N77" s="65"/>
      <c r="O77" s="65"/>
      <c r="P77" s="66">
        <f t="shared" si="1"/>
        <v>2</v>
      </c>
    </row>
    <row r="78" spans="1:16">
      <c r="A78" s="3">
        <v>76</v>
      </c>
      <c r="B78" s="3" t="s">
        <v>2</v>
      </c>
      <c r="C78" s="75" t="s">
        <v>124</v>
      </c>
      <c r="D78" s="68"/>
      <c r="E78" s="68">
        <v>2</v>
      </c>
      <c r="F78" s="68"/>
      <c r="G78" s="68"/>
      <c r="H78" s="65"/>
      <c r="I78" s="65"/>
      <c r="J78" s="65"/>
      <c r="K78" s="65"/>
      <c r="L78" s="65"/>
      <c r="M78" s="65"/>
      <c r="N78" s="65"/>
      <c r="O78" s="65"/>
      <c r="P78" s="66">
        <f t="shared" si="1"/>
        <v>2</v>
      </c>
    </row>
    <row r="79" spans="1:16">
      <c r="A79" s="3">
        <v>77</v>
      </c>
      <c r="B79" s="3" t="s">
        <v>2</v>
      </c>
      <c r="C79" s="74" t="s">
        <v>125</v>
      </c>
      <c r="D79" s="64"/>
      <c r="E79" s="64"/>
      <c r="F79" s="64">
        <v>2</v>
      </c>
      <c r="G79" s="64"/>
      <c r="H79" s="65"/>
      <c r="I79" s="65"/>
      <c r="J79" s="65"/>
      <c r="K79" s="65"/>
      <c r="L79" s="65"/>
      <c r="M79" s="65"/>
      <c r="N79" s="65"/>
      <c r="O79" s="65"/>
      <c r="P79" s="66">
        <f t="shared" si="1"/>
        <v>2</v>
      </c>
    </row>
    <row r="80" spans="1:16">
      <c r="A80" s="3">
        <v>78</v>
      </c>
      <c r="B80" s="3" t="s">
        <v>2</v>
      </c>
      <c r="C80" s="74" t="s">
        <v>126</v>
      </c>
      <c r="D80" s="64"/>
      <c r="E80" s="64"/>
      <c r="F80" s="64"/>
      <c r="G80" s="64">
        <v>1</v>
      </c>
      <c r="H80" s="65"/>
      <c r="I80" s="65"/>
      <c r="J80" s="65"/>
      <c r="K80" s="65"/>
      <c r="L80" s="65"/>
      <c r="M80" s="65"/>
      <c r="N80" s="65"/>
      <c r="O80" s="65"/>
      <c r="P80" s="66">
        <f t="shared" si="1"/>
        <v>1</v>
      </c>
    </row>
    <row r="81" spans="1:16">
      <c r="A81" s="67">
        <v>79</v>
      </c>
      <c r="B81" s="3" t="s">
        <v>2</v>
      </c>
      <c r="C81" s="74" t="s">
        <v>127</v>
      </c>
      <c r="D81" s="64">
        <v>1</v>
      </c>
      <c r="E81" s="64"/>
      <c r="F81" s="64"/>
      <c r="G81" s="64">
        <v>1</v>
      </c>
      <c r="H81" s="65"/>
      <c r="I81" s="65"/>
      <c r="J81" s="65"/>
      <c r="K81" s="65"/>
      <c r="L81" s="65"/>
      <c r="M81" s="65"/>
      <c r="N81" s="65"/>
      <c r="O81" s="65"/>
      <c r="P81" s="66">
        <f t="shared" si="1"/>
        <v>2</v>
      </c>
    </row>
    <row r="82" spans="1:16">
      <c r="A82" s="3">
        <v>80</v>
      </c>
      <c r="B82" s="3" t="s">
        <v>2</v>
      </c>
      <c r="C82" s="74" t="s">
        <v>128</v>
      </c>
      <c r="D82" s="64"/>
      <c r="E82" s="64">
        <v>1</v>
      </c>
      <c r="F82" s="64"/>
      <c r="G82" s="64">
        <v>1</v>
      </c>
      <c r="H82" s="65"/>
      <c r="I82" s="65"/>
      <c r="J82" s="65"/>
      <c r="K82" s="65"/>
      <c r="L82" s="65"/>
      <c r="M82" s="65"/>
      <c r="N82" s="65"/>
      <c r="O82" s="65"/>
      <c r="P82" s="66">
        <f t="shared" si="1"/>
        <v>2</v>
      </c>
    </row>
    <row r="83" spans="1:16">
      <c r="A83" s="3">
        <v>81</v>
      </c>
      <c r="B83" s="3" t="s">
        <v>2</v>
      </c>
      <c r="C83" s="74" t="s">
        <v>129</v>
      </c>
      <c r="D83" s="64"/>
      <c r="E83" s="64">
        <v>1</v>
      </c>
      <c r="F83" s="64"/>
      <c r="G83" s="64"/>
      <c r="H83" s="65"/>
      <c r="I83" s="65"/>
      <c r="J83" s="65"/>
      <c r="K83" s="65"/>
      <c r="L83" s="65"/>
      <c r="M83" s="65"/>
      <c r="N83" s="65"/>
      <c r="O83" s="65"/>
      <c r="P83" s="66">
        <f t="shared" si="1"/>
        <v>1</v>
      </c>
    </row>
    <row r="84" spans="1:16">
      <c r="A84" s="3">
        <v>82</v>
      </c>
      <c r="B84" s="3" t="s">
        <v>2</v>
      </c>
      <c r="C84" s="74" t="s">
        <v>130</v>
      </c>
      <c r="D84" s="64">
        <v>1</v>
      </c>
      <c r="E84" s="64">
        <v>1</v>
      </c>
      <c r="F84" s="64"/>
      <c r="G84" s="64"/>
      <c r="H84" s="65"/>
      <c r="I84" s="65"/>
      <c r="J84" s="65"/>
      <c r="K84" s="65"/>
      <c r="L84" s="65"/>
      <c r="M84" s="65"/>
      <c r="N84" s="65"/>
      <c r="O84" s="65"/>
      <c r="P84" s="66">
        <f t="shared" si="1"/>
        <v>2</v>
      </c>
    </row>
    <row r="85" spans="1:16">
      <c r="A85" s="3">
        <v>83</v>
      </c>
      <c r="B85" s="3" t="s">
        <v>2</v>
      </c>
      <c r="C85" s="74" t="s">
        <v>131</v>
      </c>
      <c r="D85" s="64"/>
      <c r="E85" s="64">
        <v>1</v>
      </c>
      <c r="F85" s="64"/>
      <c r="G85" s="64"/>
      <c r="H85" s="65"/>
      <c r="I85" s="65"/>
      <c r="J85" s="65"/>
      <c r="K85" s="65"/>
      <c r="L85" s="65"/>
      <c r="M85" s="65"/>
      <c r="N85" s="65"/>
      <c r="O85" s="65"/>
      <c r="P85" s="66">
        <f t="shared" si="1"/>
        <v>1</v>
      </c>
    </row>
    <row r="86" spans="1:16">
      <c r="A86" s="3">
        <v>84</v>
      </c>
      <c r="B86" s="3" t="s">
        <v>2</v>
      </c>
      <c r="C86" s="74" t="s">
        <v>132</v>
      </c>
      <c r="D86" s="64"/>
      <c r="E86" s="64"/>
      <c r="F86" s="64">
        <v>1</v>
      </c>
      <c r="G86" s="64"/>
      <c r="H86" s="65"/>
      <c r="I86" s="65"/>
      <c r="J86" s="65"/>
      <c r="K86" s="65"/>
      <c r="L86" s="65"/>
      <c r="M86" s="65"/>
      <c r="N86" s="65"/>
      <c r="O86" s="65"/>
      <c r="P86" s="66">
        <f t="shared" si="1"/>
        <v>1</v>
      </c>
    </row>
    <row r="87" spans="1:16">
      <c r="A87" s="3">
        <v>85</v>
      </c>
      <c r="B87" s="3" t="s">
        <v>2</v>
      </c>
      <c r="C87" s="74" t="s">
        <v>133</v>
      </c>
      <c r="D87" s="64"/>
      <c r="E87" s="64"/>
      <c r="F87" s="64"/>
      <c r="G87" s="64">
        <v>1</v>
      </c>
      <c r="H87" s="65"/>
      <c r="I87" s="65"/>
      <c r="J87" s="65"/>
      <c r="K87" s="65"/>
      <c r="L87" s="65"/>
      <c r="M87" s="65"/>
      <c r="N87" s="65"/>
      <c r="O87" s="65"/>
      <c r="P87" s="66">
        <f t="shared" si="1"/>
        <v>1</v>
      </c>
    </row>
    <row r="88" spans="1:16">
      <c r="A88" s="3">
        <v>86</v>
      </c>
      <c r="B88" s="3" t="s">
        <v>2</v>
      </c>
      <c r="C88" s="74" t="s">
        <v>134</v>
      </c>
      <c r="D88" s="64">
        <v>1</v>
      </c>
      <c r="E88" s="64"/>
      <c r="F88" s="64"/>
      <c r="G88" s="64"/>
      <c r="H88" s="65"/>
      <c r="I88" s="65"/>
      <c r="J88" s="65"/>
      <c r="K88" s="65"/>
      <c r="L88" s="65"/>
      <c r="M88" s="65"/>
      <c r="N88" s="65"/>
      <c r="O88" s="65"/>
      <c r="P88" s="66">
        <f t="shared" si="1"/>
        <v>1</v>
      </c>
    </row>
    <row r="89" spans="1:16">
      <c r="A89" s="3">
        <v>87</v>
      </c>
      <c r="B89" s="3" t="s">
        <v>2</v>
      </c>
      <c r="C89" s="74" t="s">
        <v>135</v>
      </c>
      <c r="D89" s="64">
        <v>1</v>
      </c>
      <c r="E89" s="64"/>
      <c r="F89" s="64"/>
      <c r="G89" s="64"/>
      <c r="H89" s="65"/>
      <c r="I89" s="65"/>
      <c r="J89" s="65"/>
      <c r="K89" s="65"/>
      <c r="L89" s="65"/>
      <c r="M89" s="65"/>
      <c r="N89" s="65"/>
      <c r="O89" s="65"/>
      <c r="P89" s="66">
        <f t="shared" si="1"/>
        <v>1</v>
      </c>
    </row>
    <row r="90" spans="1:16">
      <c r="A90" s="3">
        <v>88</v>
      </c>
      <c r="B90" s="3" t="s">
        <v>2</v>
      </c>
      <c r="C90" s="74" t="s">
        <v>136</v>
      </c>
      <c r="D90" s="64"/>
      <c r="E90" s="64">
        <v>1</v>
      </c>
      <c r="F90" s="64"/>
      <c r="G90" s="64"/>
      <c r="H90" s="65"/>
      <c r="I90" s="65"/>
      <c r="J90" s="65"/>
      <c r="K90" s="65"/>
      <c r="L90" s="65"/>
      <c r="M90" s="65"/>
      <c r="N90" s="65"/>
      <c r="O90" s="65"/>
      <c r="P90" s="66">
        <f t="shared" si="1"/>
        <v>1</v>
      </c>
    </row>
    <row r="91" spans="1:16">
      <c r="A91" s="3">
        <v>89</v>
      </c>
      <c r="B91" s="3" t="s">
        <v>2</v>
      </c>
      <c r="C91" s="74" t="s">
        <v>137</v>
      </c>
      <c r="D91" s="64"/>
      <c r="E91" s="64">
        <v>1</v>
      </c>
      <c r="F91" s="64"/>
      <c r="G91" s="64"/>
      <c r="H91" s="65"/>
      <c r="I91" s="65"/>
      <c r="J91" s="65"/>
      <c r="K91" s="65"/>
      <c r="L91" s="65"/>
      <c r="M91" s="65"/>
      <c r="N91" s="65"/>
      <c r="O91" s="65"/>
      <c r="P91" s="66">
        <f t="shared" si="1"/>
        <v>1</v>
      </c>
    </row>
    <row r="92" spans="1:16">
      <c r="A92" s="3">
        <v>90</v>
      </c>
      <c r="B92" s="3" t="s">
        <v>2</v>
      </c>
      <c r="C92" s="74" t="s">
        <v>138</v>
      </c>
      <c r="D92" s="64"/>
      <c r="E92" s="64"/>
      <c r="F92" s="64">
        <v>1</v>
      </c>
      <c r="G92" s="64"/>
      <c r="H92" s="65"/>
      <c r="I92" s="65"/>
      <c r="J92" s="65"/>
      <c r="K92" s="65"/>
      <c r="L92" s="65"/>
      <c r="M92" s="65"/>
      <c r="N92" s="65"/>
      <c r="O92" s="65"/>
      <c r="P92" s="66">
        <f t="shared" si="1"/>
        <v>1</v>
      </c>
    </row>
    <row r="93" spans="1:16">
      <c r="A93" s="3">
        <v>91</v>
      </c>
      <c r="B93" s="3" t="s">
        <v>2</v>
      </c>
      <c r="C93" s="74" t="s">
        <v>139</v>
      </c>
      <c r="D93" s="64"/>
      <c r="E93" s="64"/>
      <c r="F93" s="64"/>
      <c r="G93" s="64">
        <v>1</v>
      </c>
      <c r="H93" s="65"/>
      <c r="I93" s="65"/>
      <c r="J93" s="65"/>
      <c r="K93" s="65"/>
      <c r="L93" s="65"/>
      <c r="M93" s="65"/>
      <c r="N93" s="65"/>
      <c r="O93" s="65"/>
      <c r="P93" s="66">
        <f t="shared" si="1"/>
        <v>1</v>
      </c>
    </row>
    <row r="94" spans="1:16">
      <c r="A94" s="3">
        <v>92</v>
      </c>
      <c r="B94" s="3" t="s">
        <v>2</v>
      </c>
      <c r="C94" s="74" t="s">
        <v>140</v>
      </c>
      <c r="D94" s="64"/>
      <c r="E94" s="64"/>
      <c r="F94" s="64">
        <v>1</v>
      </c>
      <c r="G94" s="64"/>
      <c r="H94" s="65"/>
      <c r="I94" s="65"/>
      <c r="J94" s="65"/>
      <c r="K94" s="65"/>
      <c r="L94" s="65"/>
      <c r="M94" s="65"/>
      <c r="N94" s="65"/>
      <c r="O94" s="65"/>
      <c r="P94" s="66">
        <f t="shared" si="1"/>
        <v>1</v>
      </c>
    </row>
    <row r="95" spans="1:16">
      <c r="A95" s="3">
        <v>93</v>
      </c>
      <c r="B95" s="3" t="s">
        <v>2</v>
      </c>
      <c r="C95" s="74" t="s">
        <v>141</v>
      </c>
      <c r="D95" s="64"/>
      <c r="E95" s="64"/>
      <c r="F95" s="64">
        <v>1</v>
      </c>
      <c r="G95" s="64"/>
      <c r="H95" s="65"/>
      <c r="I95" s="65"/>
      <c r="J95" s="65"/>
      <c r="K95" s="65"/>
      <c r="L95" s="65"/>
      <c r="M95" s="65"/>
      <c r="N95" s="65"/>
      <c r="O95" s="65"/>
      <c r="P95" s="66">
        <f t="shared" si="1"/>
        <v>1</v>
      </c>
    </row>
    <row r="96" spans="1:16">
      <c r="A96" s="3">
        <v>94</v>
      </c>
      <c r="B96" s="3" t="s">
        <v>2</v>
      </c>
      <c r="C96" s="74" t="s">
        <v>142</v>
      </c>
      <c r="D96" s="64"/>
      <c r="E96" s="64"/>
      <c r="F96" s="64">
        <v>1</v>
      </c>
      <c r="G96" s="64"/>
      <c r="H96" s="65"/>
      <c r="I96" s="65"/>
      <c r="J96" s="65"/>
      <c r="K96" s="65"/>
      <c r="L96" s="65"/>
      <c r="M96" s="65"/>
      <c r="N96" s="65"/>
      <c r="O96" s="65"/>
      <c r="P96" s="66">
        <f t="shared" si="1"/>
        <v>1</v>
      </c>
    </row>
    <row r="97" spans="1:16">
      <c r="A97" s="3">
        <v>95</v>
      </c>
      <c r="B97" s="3" t="s">
        <v>2</v>
      </c>
      <c r="C97" s="74" t="s">
        <v>143</v>
      </c>
      <c r="D97" s="64"/>
      <c r="E97" s="64"/>
      <c r="F97" s="64">
        <v>1</v>
      </c>
      <c r="G97" s="64"/>
      <c r="H97" s="65"/>
      <c r="I97" s="65"/>
      <c r="J97" s="65"/>
      <c r="K97" s="65"/>
      <c r="L97" s="65"/>
      <c r="M97" s="65"/>
      <c r="N97" s="65"/>
      <c r="O97" s="65"/>
      <c r="P97" s="66">
        <f t="shared" si="1"/>
        <v>1</v>
      </c>
    </row>
    <row r="98" spans="1:16"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6"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6"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6"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6"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6"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6"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6"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6"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6"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6"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6"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6"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6"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6"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="59" customFormat="1"/>
    <row r="114" s="59" customFormat="1"/>
    <row r="115" s="59" customFormat="1"/>
    <row r="116" s="59" customFormat="1"/>
    <row r="117" s="59" customFormat="1"/>
    <row r="118" s="59" customFormat="1"/>
    <row r="119" s="59" customFormat="1"/>
    <row r="120" s="59" customFormat="1"/>
    <row r="121" s="59" customFormat="1"/>
    <row r="122" s="59" customFormat="1"/>
    <row r="123" s="59" customFormat="1"/>
    <row r="124" s="59" customFormat="1"/>
    <row r="125" s="59" customFormat="1"/>
    <row r="126" s="59" customFormat="1"/>
    <row r="127" s="59" customFormat="1"/>
    <row r="128" s="59" customFormat="1"/>
    <row r="129" s="59" customFormat="1"/>
    <row r="130" s="59" customFormat="1"/>
    <row r="131" s="59" customFormat="1"/>
    <row r="132" s="59" customFormat="1"/>
    <row r="133" s="59" customFormat="1"/>
    <row r="134" s="59" customFormat="1"/>
    <row r="135" s="59" customFormat="1"/>
    <row r="136" s="59" customFormat="1"/>
    <row r="137" s="59" customFormat="1"/>
    <row r="138" s="59" customFormat="1"/>
    <row r="139" s="59" customFormat="1"/>
    <row r="140" s="59" customFormat="1"/>
    <row r="141" s="59" customFormat="1"/>
    <row r="142" s="59" customFormat="1"/>
    <row r="143" s="59" customFormat="1"/>
    <row r="144" s="59" customFormat="1"/>
    <row r="145" s="59" customFormat="1"/>
    <row r="146" s="59" customFormat="1"/>
    <row r="147" s="59" customFormat="1"/>
    <row r="148" s="59" customFormat="1"/>
    <row r="149" s="59" customFormat="1"/>
    <row r="150" s="59" customFormat="1"/>
    <row r="151" s="59" customFormat="1"/>
    <row r="152" s="59" customFormat="1"/>
    <row r="153" s="59" customFormat="1"/>
    <row r="154" s="59" customFormat="1"/>
    <row r="155" s="59" customFormat="1"/>
    <row r="156" s="59" customFormat="1"/>
    <row r="157" s="59" customFormat="1"/>
    <row r="158" s="59" customFormat="1"/>
    <row r="159" s="59" customFormat="1"/>
    <row r="160" s="59" customFormat="1"/>
    <row r="161" s="59" customFormat="1"/>
    <row r="162" s="59" customFormat="1"/>
    <row r="163" s="59" customFormat="1"/>
    <row r="164" s="59" customFormat="1"/>
    <row r="165" s="59" customFormat="1"/>
    <row r="166" s="59" customFormat="1"/>
    <row r="167" s="59" customFormat="1"/>
    <row r="168" s="59" customFormat="1"/>
    <row r="169" s="59" customFormat="1"/>
    <row r="170" s="59" customFormat="1"/>
    <row r="171" s="59" customFormat="1"/>
    <row r="172" s="59" customFormat="1"/>
    <row r="173" s="59" customFormat="1"/>
    <row r="174" s="59" customFormat="1"/>
    <row r="175" s="59" customFormat="1"/>
    <row r="176" s="59" customFormat="1"/>
    <row r="177" s="59" customFormat="1"/>
    <row r="178" s="59" customFormat="1"/>
    <row r="179" s="59" customFormat="1"/>
    <row r="180" s="59" customFormat="1"/>
    <row r="181" s="59" customFormat="1"/>
    <row r="182" s="59" customFormat="1"/>
    <row r="183" s="59" customFormat="1"/>
    <row r="184" s="59" customFormat="1"/>
    <row r="185" s="59" customFormat="1"/>
    <row r="186" s="59" customFormat="1"/>
    <row r="187" s="59" customFormat="1"/>
    <row r="188" s="59" customFormat="1"/>
    <row r="189" s="59" customFormat="1"/>
    <row r="190" s="59" customFormat="1"/>
    <row r="191" s="59" customFormat="1"/>
    <row r="192" s="59" customFormat="1"/>
    <row r="193" s="59" customFormat="1"/>
    <row r="194" s="59" customFormat="1"/>
    <row r="195" s="59" customFormat="1"/>
    <row r="196" s="59" customFormat="1"/>
    <row r="197" s="59" customFormat="1"/>
    <row r="198" s="59" customFormat="1"/>
    <row r="199" s="59" customFormat="1"/>
    <row r="200" s="59" customFormat="1"/>
    <row r="201" s="59" customFormat="1"/>
    <row r="202" s="59" customFormat="1"/>
    <row r="203" s="59" customFormat="1"/>
    <row r="204" s="59" customFormat="1"/>
    <row r="205" s="59" customFormat="1"/>
    <row r="206" s="59" customFormat="1"/>
    <row r="207" s="59" customFormat="1"/>
    <row r="208" s="59" customFormat="1"/>
    <row r="209" s="59" customFormat="1"/>
    <row r="210" s="59" customFormat="1"/>
    <row r="211" s="59" customFormat="1"/>
    <row r="212" s="59" customFormat="1"/>
    <row r="213" s="59" customFormat="1"/>
    <row r="214" s="59" customFormat="1"/>
    <row r="215" s="59" customFormat="1"/>
    <row r="216" s="59" customFormat="1"/>
    <row r="217" s="59" customFormat="1"/>
    <row r="218" s="59" customFormat="1"/>
    <row r="219" s="59" customFormat="1"/>
    <row r="220" s="59" customFormat="1"/>
    <row r="221" s="59" customFormat="1"/>
    <row r="222" s="59" customFormat="1"/>
    <row r="223" s="59" customFormat="1"/>
    <row r="224" s="59" customFormat="1"/>
    <row r="225" s="59" customFormat="1"/>
    <row r="226" s="59" customFormat="1"/>
    <row r="227" s="59" customFormat="1"/>
    <row r="228" s="59" customFormat="1"/>
    <row r="229" s="59" customFormat="1"/>
    <row r="230" s="59" customFormat="1"/>
    <row r="231" s="59" customFormat="1"/>
    <row r="232" s="59" customFormat="1"/>
    <row r="233" s="59" customFormat="1"/>
    <row r="234" s="59" customFormat="1"/>
    <row r="235" s="59" customFormat="1"/>
    <row r="236" s="59" customFormat="1"/>
    <row r="237" s="59" customFormat="1"/>
    <row r="238" s="59" customFormat="1"/>
    <row r="239" s="59" customFormat="1"/>
    <row r="240" s="59" customFormat="1"/>
    <row r="241" s="59" customFormat="1"/>
    <row r="242" s="59" customFormat="1"/>
    <row r="243" s="59" customFormat="1"/>
    <row r="244" s="59" customFormat="1"/>
    <row r="245" s="59" customFormat="1"/>
    <row r="246" s="59" customFormat="1"/>
    <row r="247" s="59" customFormat="1"/>
    <row r="248" s="59" customFormat="1"/>
    <row r="249" s="59" customFormat="1"/>
    <row r="250" s="59" customFormat="1"/>
    <row r="251" s="59" customFormat="1"/>
    <row r="252" s="59" customFormat="1"/>
    <row r="253" s="59" customFormat="1"/>
    <row r="254" s="59" customFormat="1"/>
    <row r="255" s="59" customFormat="1"/>
    <row r="256" s="59" customFormat="1"/>
    <row r="257" s="59" customFormat="1"/>
    <row r="258" s="59" customFormat="1"/>
    <row r="259" s="59" customFormat="1"/>
    <row r="260" s="59" customFormat="1"/>
    <row r="261" s="59" customFormat="1"/>
    <row r="262" s="59" customFormat="1"/>
    <row r="263" s="59" customFormat="1"/>
    <row r="264" s="59" customFormat="1"/>
    <row r="265" s="59" customFormat="1"/>
    <row r="266" s="59" customFormat="1"/>
    <row r="267" s="59" customFormat="1"/>
    <row r="268" s="59" customFormat="1"/>
    <row r="269" s="59" customFormat="1"/>
    <row r="270" s="59" customFormat="1"/>
    <row r="271" s="59" customFormat="1"/>
    <row r="272" s="59" customFormat="1"/>
    <row r="273" s="59" customFormat="1"/>
    <row r="274" s="59" customFormat="1"/>
    <row r="275" s="59" customFormat="1"/>
    <row r="276" s="59" customFormat="1"/>
    <row r="277" s="59" customFormat="1"/>
    <row r="278" s="59" customFormat="1"/>
    <row r="279" s="59" customFormat="1"/>
    <row r="280" s="59" customFormat="1"/>
    <row r="281" s="59" customFormat="1"/>
    <row r="282" s="59" customFormat="1"/>
    <row r="283" s="59" customFormat="1"/>
    <row r="284" s="59" customFormat="1"/>
    <row r="285" s="59" customFormat="1"/>
    <row r="286" s="59" customFormat="1"/>
    <row r="287" s="59" customFormat="1"/>
    <row r="288" s="59" customFormat="1"/>
    <row r="289" s="59" customFormat="1"/>
    <row r="290" s="59" customFormat="1"/>
    <row r="291" s="59" customFormat="1"/>
    <row r="292" s="59" customFormat="1"/>
    <row r="293" s="59" customFormat="1"/>
    <row r="294" s="59" customFormat="1"/>
    <row r="295" s="59" customFormat="1"/>
    <row r="296" s="59" customFormat="1"/>
    <row r="297" s="59" customFormat="1"/>
    <row r="298" s="59" customFormat="1"/>
    <row r="299" s="59" customFormat="1"/>
    <row r="300" s="59" customFormat="1"/>
    <row r="301" s="59" customFormat="1"/>
    <row r="302" s="59" customFormat="1"/>
    <row r="303" s="59" customFormat="1"/>
    <row r="304" s="59" customFormat="1"/>
    <row r="305" s="59" customFormat="1"/>
    <row r="306" s="59" customFormat="1"/>
    <row r="307" s="59" customFormat="1"/>
    <row r="308" s="59" customFormat="1"/>
    <row r="309" s="59" customFormat="1"/>
    <row r="310" s="59" customFormat="1"/>
    <row r="311" s="59" customFormat="1"/>
    <row r="312" s="59" customFormat="1"/>
    <row r="313" s="59" customFormat="1"/>
    <row r="314" s="59" customFormat="1"/>
    <row r="315" s="59" customFormat="1"/>
    <row r="316" s="59" customFormat="1"/>
    <row r="317" s="59" customFormat="1"/>
    <row r="318" s="59" customFormat="1"/>
    <row r="319" s="59" customFormat="1"/>
    <row r="320" s="59" customFormat="1"/>
    <row r="321" s="59" customFormat="1"/>
    <row r="322" s="59" customFormat="1"/>
    <row r="323" s="59" customFormat="1"/>
    <row r="324" s="59" customFormat="1"/>
    <row r="325" s="59" customFormat="1"/>
    <row r="326" s="59" customFormat="1"/>
    <row r="327" s="59" customFormat="1"/>
    <row r="328" s="59" customFormat="1"/>
    <row r="329" s="59" customFormat="1"/>
    <row r="330" s="59" customFormat="1"/>
    <row r="331" s="59" customFormat="1"/>
    <row r="332" s="59" customFormat="1"/>
    <row r="333" s="59" customFormat="1"/>
    <row r="334" s="59" customFormat="1"/>
    <row r="335" s="59" customFormat="1"/>
    <row r="336" s="59" customFormat="1"/>
    <row r="337" s="59" customFormat="1"/>
    <row r="338" s="59" customFormat="1"/>
    <row r="339" s="59" customFormat="1"/>
    <row r="340" s="59" customFormat="1"/>
    <row r="341" s="59" customFormat="1"/>
    <row r="342" s="59" customFormat="1"/>
    <row r="343" s="59" customFormat="1"/>
    <row r="344" s="59" customFormat="1"/>
    <row r="345" s="59" customFormat="1"/>
    <row r="346" s="59" customFormat="1"/>
    <row r="347" s="59" customFormat="1"/>
    <row r="348" s="59" customFormat="1"/>
    <row r="349" s="59" customFormat="1"/>
    <row r="350" s="59" customFormat="1"/>
    <row r="351" s="59" customFormat="1"/>
    <row r="352" s="59" customFormat="1"/>
    <row r="353" s="59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0007-7779-4BA8-8D7D-4ACB8AA8AE76}">
  <dimension ref="A1:P353"/>
  <sheetViews>
    <sheetView zoomScale="70" zoomScaleNormal="70" workbookViewId="0">
      <selection activeCell="C3" sqref="C3:C97"/>
    </sheetView>
  </sheetViews>
  <sheetFormatPr defaultRowHeight="16"/>
  <cols>
    <col min="1" max="1" width="7.6328125" style="43" customWidth="1"/>
    <col min="2" max="2" width="9.36328125" style="43" customWidth="1"/>
    <col min="3" max="3" width="15.1796875" style="43" customWidth="1"/>
    <col min="4" max="15" width="8.7265625" style="43"/>
    <col min="16" max="16" width="9.1796875" style="59" bestFit="1" customWidth="1"/>
    <col min="17" max="16384" width="8.7265625" style="43"/>
  </cols>
  <sheetData>
    <row r="1" spans="1:16">
      <c r="A1" s="42" t="s">
        <v>302</v>
      </c>
    </row>
    <row r="2" spans="1:16" ht="24.5" customHeight="1">
      <c r="A2" s="55" t="s">
        <v>45</v>
      </c>
      <c r="B2" s="60" t="s">
        <v>5</v>
      </c>
      <c r="C2" s="55" t="s">
        <v>46</v>
      </c>
      <c r="D2" s="61" t="s">
        <v>42</v>
      </c>
      <c r="E2" s="62" t="s">
        <v>43</v>
      </c>
      <c r="F2" s="62" t="s">
        <v>47</v>
      </c>
      <c r="G2" s="62" t="s">
        <v>48</v>
      </c>
      <c r="H2" s="62" t="s">
        <v>144</v>
      </c>
      <c r="I2" s="62" t="s">
        <v>145</v>
      </c>
      <c r="J2" s="62" t="s">
        <v>146</v>
      </c>
      <c r="K2" s="62" t="s">
        <v>147</v>
      </c>
      <c r="L2" s="62" t="s">
        <v>148</v>
      </c>
      <c r="M2" s="62" t="s">
        <v>149</v>
      </c>
      <c r="N2" s="62" t="s">
        <v>150</v>
      </c>
      <c r="O2" s="62" t="s">
        <v>151</v>
      </c>
      <c r="P2" s="63" t="s">
        <v>0</v>
      </c>
    </row>
    <row r="3" spans="1:16" ht="19" customHeight="1">
      <c r="A3" s="3">
        <v>1</v>
      </c>
      <c r="B3" s="3" t="s">
        <v>1</v>
      </c>
      <c r="C3" s="3"/>
      <c r="D3" s="64"/>
      <c r="E3" s="64"/>
      <c r="F3" s="64"/>
      <c r="G3" s="64"/>
      <c r="H3" s="65"/>
      <c r="I3" s="65"/>
      <c r="J3" s="65"/>
      <c r="K3" s="65"/>
      <c r="L3" s="65"/>
      <c r="M3" s="65"/>
      <c r="N3" s="65"/>
      <c r="O3" s="65"/>
      <c r="P3" s="66">
        <f>SUM(D3:O3)</f>
        <v>0</v>
      </c>
    </row>
    <row r="4" spans="1:16">
      <c r="A4" s="3">
        <v>2</v>
      </c>
      <c r="B4" s="3" t="s">
        <v>1</v>
      </c>
      <c r="C4" s="3"/>
      <c r="D4" s="64"/>
      <c r="E4" s="64"/>
      <c r="F4" s="64"/>
      <c r="G4" s="64"/>
      <c r="H4" s="65"/>
      <c r="I4" s="65"/>
      <c r="J4" s="65"/>
      <c r="K4" s="65"/>
      <c r="L4" s="65"/>
      <c r="M4" s="65"/>
      <c r="N4" s="65"/>
      <c r="O4" s="65"/>
      <c r="P4" s="66">
        <f t="shared" ref="P4:P67" si="0">SUM(D4:O4)</f>
        <v>0</v>
      </c>
    </row>
    <row r="5" spans="1:16">
      <c r="A5" s="3">
        <v>3</v>
      </c>
      <c r="B5" s="3" t="s">
        <v>1</v>
      </c>
      <c r="C5" s="3"/>
      <c r="D5" s="64"/>
      <c r="E5" s="64"/>
      <c r="F5" s="64"/>
      <c r="G5" s="64"/>
      <c r="H5" s="65"/>
      <c r="I5" s="65"/>
      <c r="J5" s="65"/>
      <c r="K5" s="65"/>
      <c r="L5" s="65"/>
      <c r="M5" s="65"/>
      <c r="N5" s="65"/>
      <c r="O5" s="65"/>
      <c r="P5" s="66">
        <f t="shared" si="0"/>
        <v>0</v>
      </c>
    </row>
    <row r="6" spans="1:16">
      <c r="A6" s="3">
        <v>4</v>
      </c>
      <c r="B6" s="3" t="s">
        <v>1</v>
      </c>
      <c r="C6" s="3"/>
      <c r="D6" s="64"/>
      <c r="E6" s="64"/>
      <c r="F6" s="64"/>
      <c r="G6" s="64"/>
      <c r="H6" s="65"/>
      <c r="I6" s="65"/>
      <c r="J6" s="65"/>
      <c r="K6" s="65"/>
      <c r="L6" s="65"/>
      <c r="M6" s="65"/>
      <c r="N6" s="65"/>
      <c r="O6" s="65"/>
      <c r="P6" s="66">
        <f t="shared" si="0"/>
        <v>0</v>
      </c>
    </row>
    <row r="7" spans="1:16">
      <c r="A7" s="3">
        <v>5</v>
      </c>
      <c r="B7" s="3" t="s">
        <v>1</v>
      </c>
      <c r="C7" s="3"/>
      <c r="D7" s="64"/>
      <c r="E7" s="64"/>
      <c r="F7" s="64"/>
      <c r="G7" s="64"/>
      <c r="H7" s="65"/>
      <c r="I7" s="65"/>
      <c r="J7" s="65"/>
      <c r="K7" s="65"/>
      <c r="L7" s="65"/>
      <c r="M7" s="65"/>
      <c r="N7" s="65"/>
      <c r="O7" s="65"/>
      <c r="P7" s="66">
        <f t="shared" si="0"/>
        <v>0</v>
      </c>
    </row>
    <row r="8" spans="1:16">
      <c r="A8" s="3">
        <v>6</v>
      </c>
      <c r="B8" s="3" t="s">
        <v>1</v>
      </c>
      <c r="C8" s="3"/>
      <c r="D8" s="64"/>
      <c r="E8" s="64"/>
      <c r="F8" s="64"/>
      <c r="G8" s="64"/>
      <c r="H8" s="65"/>
      <c r="I8" s="65"/>
      <c r="J8" s="65"/>
      <c r="K8" s="65"/>
      <c r="L8" s="65"/>
      <c r="M8" s="65"/>
      <c r="N8" s="65"/>
      <c r="O8" s="65"/>
      <c r="P8" s="66">
        <f t="shared" si="0"/>
        <v>0</v>
      </c>
    </row>
    <row r="9" spans="1:16">
      <c r="A9" s="3">
        <v>7</v>
      </c>
      <c r="B9" s="3" t="s">
        <v>1</v>
      </c>
      <c r="C9" s="3"/>
      <c r="D9" s="64"/>
      <c r="E9" s="64"/>
      <c r="F9" s="64"/>
      <c r="G9" s="64"/>
      <c r="H9" s="65"/>
      <c r="I9" s="65"/>
      <c r="J9" s="65"/>
      <c r="K9" s="65"/>
      <c r="L9" s="65"/>
      <c r="M9" s="65"/>
      <c r="N9" s="65"/>
      <c r="O9" s="65"/>
      <c r="P9" s="66">
        <f t="shared" si="0"/>
        <v>0</v>
      </c>
    </row>
    <row r="10" spans="1:16">
      <c r="A10" s="3">
        <v>8</v>
      </c>
      <c r="B10" s="3" t="s">
        <v>1</v>
      </c>
      <c r="C10" s="3"/>
      <c r="D10" s="64"/>
      <c r="E10" s="64"/>
      <c r="F10" s="64"/>
      <c r="G10" s="64"/>
      <c r="H10" s="65"/>
      <c r="I10" s="65"/>
      <c r="J10" s="65"/>
      <c r="K10" s="65"/>
      <c r="L10" s="65"/>
      <c r="M10" s="65"/>
      <c r="N10" s="65"/>
      <c r="O10" s="65"/>
      <c r="P10" s="66">
        <f t="shared" si="0"/>
        <v>0</v>
      </c>
    </row>
    <row r="11" spans="1:16">
      <c r="A11" s="3">
        <v>9</v>
      </c>
      <c r="B11" s="3" t="s">
        <v>1</v>
      </c>
      <c r="C11" s="3"/>
      <c r="D11" s="64"/>
      <c r="E11" s="64"/>
      <c r="F11" s="64"/>
      <c r="G11" s="64"/>
      <c r="H11" s="65"/>
      <c r="I11" s="65"/>
      <c r="J11" s="65"/>
      <c r="K11" s="65"/>
      <c r="L11" s="65"/>
      <c r="M11" s="65"/>
      <c r="N11" s="65"/>
      <c r="O11" s="65"/>
      <c r="P11" s="66">
        <f t="shared" si="0"/>
        <v>0</v>
      </c>
    </row>
    <row r="12" spans="1:16">
      <c r="A12" s="3">
        <v>10</v>
      </c>
      <c r="B12" s="3" t="s">
        <v>1</v>
      </c>
      <c r="C12" s="3"/>
      <c r="D12" s="64"/>
      <c r="E12" s="64"/>
      <c r="F12" s="64"/>
      <c r="G12" s="64"/>
      <c r="H12" s="65"/>
      <c r="I12" s="65"/>
      <c r="J12" s="65"/>
      <c r="K12" s="65"/>
      <c r="L12" s="65"/>
      <c r="M12" s="65"/>
      <c r="N12" s="65"/>
      <c r="O12" s="65"/>
      <c r="P12" s="66">
        <f t="shared" si="0"/>
        <v>0</v>
      </c>
    </row>
    <row r="13" spans="1:16">
      <c r="A13" s="3">
        <v>11</v>
      </c>
      <c r="B13" s="3" t="s">
        <v>1</v>
      </c>
      <c r="C13" s="3"/>
      <c r="D13" s="64"/>
      <c r="E13" s="64"/>
      <c r="F13" s="64"/>
      <c r="G13" s="64"/>
      <c r="H13" s="65"/>
      <c r="I13" s="65"/>
      <c r="J13" s="65"/>
      <c r="K13" s="65"/>
      <c r="L13" s="65"/>
      <c r="M13" s="65"/>
      <c r="N13" s="65"/>
      <c r="O13" s="65"/>
      <c r="P13" s="66">
        <f t="shared" si="0"/>
        <v>0</v>
      </c>
    </row>
    <row r="14" spans="1:16">
      <c r="A14" s="3">
        <v>12</v>
      </c>
      <c r="B14" s="3" t="s">
        <v>1</v>
      </c>
      <c r="C14" s="3"/>
      <c r="D14" s="64"/>
      <c r="E14" s="64"/>
      <c r="F14" s="64"/>
      <c r="G14" s="64"/>
      <c r="H14" s="65"/>
      <c r="I14" s="65"/>
      <c r="J14" s="65"/>
      <c r="K14" s="65"/>
      <c r="L14" s="65"/>
      <c r="M14" s="65"/>
      <c r="N14" s="65"/>
      <c r="O14" s="65"/>
      <c r="P14" s="66">
        <f t="shared" si="0"/>
        <v>0</v>
      </c>
    </row>
    <row r="15" spans="1:16">
      <c r="A15" s="3">
        <v>13</v>
      </c>
      <c r="B15" s="3" t="s">
        <v>1</v>
      </c>
      <c r="C15" s="3"/>
      <c r="D15" s="64"/>
      <c r="E15" s="64"/>
      <c r="F15" s="64"/>
      <c r="G15" s="64"/>
      <c r="H15" s="65"/>
      <c r="I15" s="65"/>
      <c r="J15" s="65"/>
      <c r="K15" s="65"/>
      <c r="L15" s="65"/>
      <c r="M15" s="65"/>
      <c r="N15" s="65"/>
      <c r="O15" s="65"/>
      <c r="P15" s="66">
        <f t="shared" si="0"/>
        <v>0</v>
      </c>
    </row>
    <row r="16" spans="1:16">
      <c r="A16" s="3">
        <v>14</v>
      </c>
      <c r="B16" s="3" t="s">
        <v>1</v>
      </c>
      <c r="C16" s="3"/>
      <c r="D16" s="64"/>
      <c r="E16" s="64"/>
      <c r="F16" s="64"/>
      <c r="G16" s="64"/>
      <c r="H16" s="65"/>
      <c r="I16" s="65"/>
      <c r="J16" s="65"/>
      <c r="K16" s="65"/>
      <c r="L16" s="65"/>
      <c r="M16" s="65"/>
      <c r="N16" s="65"/>
      <c r="O16" s="65"/>
      <c r="P16" s="66">
        <f t="shared" si="0"/>
        <v>0</v>
      </c>
    </row>
    <row r="17" spans="1:16">
      <c r="A17" s="3">
        <v>15</v>
      </c>
      <c r="B17" s="3" t="s">
        <v>1</v>
      </c>
      <c r="C17" s="3"/>
      <c r="D17" s="64"/>
      <c r="E17" s="64"/>
      <c r="F17" s="64"/>
      <c r="G17" s="64"/>
      <c r="H17" s="65"/>
      <c r="I17" s="65"/>
      <c r="J17" s="65"/>
      <c r="K17" s="65"/>
      <c r="L17" s="65"/>
      <c r="M17" s="65"/>
      <c r="N17" s="65"/>
      <c r="O17" s="65"/>
      <c r="P17" s="66">
        <f t="shared" si="0"/>
        <v>0</v>
      </c>
    </row>
    <row r="18" spans="1:16">
      <c r="A18" s="3">
        <v>16</v>
      </c>
      <c r="B18" s="3" t="s">
        <v>1</v>
      </c>
      <c r="C18" s="3"/>
      <c r="D18" s="64"/>
      <c r="E18" s="64"/>
      <c r="F18" s="64"/>
      <c r="G18" s="64"/>
      <c r="H18" s="65"/>
      <c r="I18" s="65"/>
      <c r="J18" s="65"/>
      <c r="K18" s="65"/>
      <c r="L18" s="65"/>
      <c r="M18" s="65"/>
      <c r="N18" s="65"/>
      <c r="O18" s="65"/>
      <c r="P18" s="66">
        <f t="shared" si="0"/>
        <v>0</v>
      </c>
    </row>
    <row r="19" spans="1:16">
      <c r="A19" s="3">
        <v>17</v>
      </c>
      <c r="B19" s="3" t="s">
        <v>1</v>
      </c>
      <c r="C19" s="3"/>
      <c r="D19" s="64"/>
      <c r="E19" s="64"/>
      <c r="F19" s="64"/>
      <c r="G19" s="64"/>
      <c r="H19" s="65"/>
      <c r="I19" s="65"/>
      <c r="J19" s="65"/>
      <c r="K19" s="65"/>
      <c r="L19" s="65"/>
      <c r="M19" s="65"/>
      <c r="N19" s="65"/>
      <c r="O19" s="65"/>
      <c r="P19" s="66">
        <f t="shared" si="0"/>
        <v>0</v>
      </c>
    </row>
    <row r="20" spans="1:16">
      <c r="A20" s="3">
        <v>18</v>
      </c>
      <c r="B20" s="3" t="s">
        <v>1</v>
      </c>
      <c r="C20" s="3"/>
      <c r="D20" s="64"/>
      <c r="E20" s="64"/>
      <c r="F20" s="64"/>
      <c r="G20" s="64"/>
      <c r="H20" s="65"/>
      <c r="I20" s="65"/>
      <c r="J20" s="65"/>
      <c r="K20" s="65"/>
      <c r="L20" s="65"/>
      <c r="M20" s="65"/>
      <c r="N20" s="65"/>
      <c r="O20" s="65"/>
      <c r="P20" s="66">
        <f t="shared" si="0"/>
        <v>0</v>
      </c>
    </row>
    <row r="21" spans="1:16">
      <c r="A21" s="3">
        <v>19</v>
      </c>
      <c r="B21" s="3" t="s">
        <v>1</v>
      </c>
      <c r="C21" s="3"/>
      <c r="D21" s="64"/>
      <c r="E21" s="64"/>
      <c r="F21" s="64"/>
      <c r="G21" s="64"/>
      <c r="H21" s="65"/>
      <c r="I21" s="65"/>
      <c r="J21" s="65"/>
      <c r="K21" s="65"/>
      <c r="L21" s="65"/>
      <c r="M21" s="65"/>
      <c r="N21" s="65"/>
      <c r="O21" s="65"/>
      <c r="P21" s="66">
        <f t="shared" si="0"/>
        <v>0</v>
      </c>
    </row>
    <row r="22" spans="1:16">
      <c r="A22" s="3">
        <v>20</v>
      </c>
      <c r="B22" s="3" t="s">
        <v>1</v>
      </c>
      <c r="C22" s="3"/>
      <c r="D22" s="64"/>
      <c r="E22" s="64"/>
      <c r="F22" s="64"/>
      <c r="G22" s="64"/>
      <c r="H22" s="65"/>
      <c r="I22" s="65"/>
      <c r="J22" s="65"/>
      <c r="K22" s="65"/>
      <c r="L22" s="65"/>
      <c r="M22" s="65"/>
      <c r="N22" s="65"/>
      <c r="O22" s="65"/>
      <c r="P22" s="66">
        <f t="shared" si="0"/>
        <v>0</v>
      </c>
    </row>
    <row r="23" spans="1:16">
      <c r="A23" s="3">
        <v>21</v>
      </c>
      <c r="B23" s="3" t="s">
        <v>1</v>
      </c>
      <c r="C23" s="3"/>
      <c r="D23" s="64"/>
      <c r="E23" s="64"/>
      <c r="F23" s="64"/>
      <c r="G23" s="64"/>
      <c r="H23" s="65"/>
      <c r="I23" s="65"/>
      <c r="J23" s="65"/>
      <c r="K23" s="65"/>
      <c r="L23" s="65"/>
      <c r="M23" s="65"/>
      <c r="N23" s="65"/>
      <c r="O23" s="65"/>
      <c r="P23" s="66">
        <f t="shared" si="0"/>
        <v>0</v>
      </c>
    </row>
    <row r="24" spans="1:16">
      <c r="A24" s="3">
        <v>22</v>
      </c>
      <c r="B24" s="3" t="s">
        <v>1</v>
      </c>
      <c r="C24" s="3"/>
      <c r="D24" s="64"/>
      <c r="E24" s="64"/>
      <c r="F24" s="64"/>
      <c r="G24" s="64"/>
      <c r="H24" s="65"/>
      <c r="I24" s="65"/>
      <c r="J24" s="65"/>
      <c r="K24" s="65"/>
      <c r="L24" s="65"/>
      <c r="M24" s="65"/>
      <c r="N24" s="65"/>
      <c r="O24" s="65"/>
      <c r="P24" s="66">
        <f t="shared" si="0"/>
        <v>0</v>
      </c>
    </row>
    <row r="25" spans="1:16">
      <c r="A25" s="3">
        <v>23</v>
      </c>
      <c r="B25" s="3" t="s">
        <v>1</v>
      </c>
      <c r="C25" s="3"/>
      <c r="D25" s="64"/>
      <c r="E25" s="64"/>
      <c r="F25" s="64"/>
      <c r="G25" s="64"/>
      <c r="H25" s="65"/>
      <c r="I25" s="65"/>
      <c r="J25" s="65"/>
      <c r="K25" s="65"/>
      <c r="L25" s="65"/>
      <c r="M25" s="65"/>
      <c r="N25" s="65"/>
      <c r="O25" s="65"/>
      <c r="P25" s="66">
        <f t="shared" si="0"/>
        <v>0</v>
      </c>
    </row>
    <row r="26" spans="1:16">
      <c r="A26" s="3">
        <v>24</v>
      </c>
      <c r="B26" s="3" t="s">
        <v>1</v>
      </c>
      <c r="C26" s="3"/>
      <c r="D26" s="64"/>
      <c r="E26" s="64"/>
      <c r="F26" s="64"/>
      <c r="G26" s="64"/>
      <c r="H26" s="65"/>
      <c r="I26" s="65"/>
      <c r="J26" s="65"/>
      <c r="K26" s="65"/>
      <c r="L26" s="65"/>
      <c r="M26" s="65"/>
      <c r="N26" s="65"/>
      <c r="O26" s="65"/>
      <c r="P26" s="66">
        <f t="shared" si="0"/>
        <v>0</v>
      </c>
    </row>
    <row r="27" spans="1:16">
      <c r="A27" s="3">
        <v>25</v>
      </c>
      <c r="B27" s="3" t="s">
        <v>1</v>
      </c>
      <c r="C27" s="3"/>
      <c r="D27" s="64"/>
      <c r="E27" s="64"/>
      <c r="F27" s="64"/>
      <c r="G27" s="64"/>
      <c r="H27" s="65"/>
      <c r="I27" s="65"/>
      <c r="J27" s="65"/>
      <c r="K27" s="65"/>
      <c r="L27" s="65"/>
      <c r="M27" s="65"/>
      <c r="N27" s="65"/>
      <c r="O27" s="65"/>
      <c r="P27" s="66">
        <f t="shared" si="0"/>
        <v>0</v>
      </c>
    </row>
    <row r="28" spans="1:16">
      <c r="A28" s="3">
        <v>26</v>
      </c>
      <c r="B28" s="3" t="s">
        <v>1</v>
      </c>
      <c r="C28" s="3"/>
      <c r="D28" s="64"/>
      <c r="E28" s="64"/>
      <c r="F28" s="64"/>
      <c r="G28" s="64"/>
      <c r="H28" s="65"/>
      <c r="I28" s="65"/>
      <c r="J28" s="65"/>
      <c r="K28" s="65"/>
      <c r="L28" s="65"/>
      <c r="M28" s="65"/>
      <c r="N28" s="65"/>
      <c r="O28" s="65"/>
      <c r="P28" s="66">
        <f t="shared" si="0"/>
        <v>0</v>
      </c>
    </row>
    <row r="29" spans="1:16">
      <c r="A29" s="3">
        <v>27</v>
      </c>
      <c r="B29" s="3" t="s">
        <v>1</v>
      </c>
      <c r="C29" s="3"/>
      <c r="D29" s="64"/>
      <c r="E29" s="64"/>
      <c r="F29" s="64"/>
      <c r="G29" s="64"/>
      <c r="H29" s="65"/>
      <c r="I29" s="65"/>
      <c r="J29" s="65"/>
      <c r="K29" s="65"/>
      <c r="L29" s="65"/>
      <c r="M29" s="65"/>
      <c r="N29" s="65"/>
      <c r="O29" s="65"/>
      <c r="P29" s="66">
        <f t="shared" si="0"/>
        <v>0</v>
      </c>
    </row>
    <row r="30" spans="1:16">
      <c r="A30" s="3">
        <v>28</v>
      </c>
      <c r="B30" s="3" t="s">
        <v>1</v>
      </c>
      <c r="C30" s="3"/>
      <c r="D30" s="64"/>
      <c r="E30" s="64"/>
      <c r="F30" s="64"/>
      <c r="G30" s="64"/>
      <c r="H30" s="65"/>
      <c r="I30" s="65"/>
      <c r="J30" s="65"/>
      <c r="K30" s="65"/>
      <c r="L30" s="65"/>
      <c r="M30" s="65"/>
      <c r="N30" s="65"/>
      <c r="O30" s="65"/>
      <c r="P30" s="66">
        <f t="shared" si="0"/>
        <v>0</v>
      </c>
    </row>
    <row r="31" spans="1:16">
      <c r="A31" s="3">
        <v>29</v>
      </c>
      <c r="B31" s="3" t="s">
        <v>1</v>
      </c>
      <c r="C31" s="3"/>
      <c r="D31" s="64"/>
      <c r="E31" s="64"/>
      <c r="F31" s="64"/>
      <c r="G31" s="64"/>
      <c r="H31" s="65"/>
      <c r="I31" s="65"/>
      <c r="J31" s="65"/>
      <c r="K31" s="65"/>
      <c r="L31" s="65"/>
      <c r="M31" s="65"/>
      <c r="N31" s="65"/>
      <c r="O31" s="65"/>
      <c r="P31" s="66">
        <f t="shared" si="0"/>
        <v>0</v>
      </c>
    </row>
    <row r="32" spans="1:16">
      <c r="A32" s="3">
        <v>30</v>
      </c>
      <c r="B32" s="3" t="s">
        <v>1</v>
      </c>
      <c r="C32" s="3"/>
      <c r="D32" s="64"/>
      <c r="E32" s="64"/>
      <c r="F32" s="64"/>
      <c r="G32" s="64"/>
      <c r="H32" s="65"/>
      <c r="I32" s="65"/>
      <c r="J32" s="65"/>
      <c r="K32" s="65"/>
      <c r="L32" s="65"/>
      <c r="M32" s="65"/>
      <c r="N32" s="65"/>
      <c r="O32" s="65"/>
      <c r="P32" s="66">
        <f t="shared" si="0"/>
        <v>0</v>
      </c>
    </row>
    <row r="33" spans="1:16">
      <c r="A33" s="3">
        <v>31</v>
      </c>
      <c r="B33" s="3" t="s">
        <v>1</v>
      </c>
      <c r="C33" s="3"/>
      <c r="D33" s="64"/>
      <c r="E33" s="64"/>
      <c r="F33" s="64"/>
      <c r="G33" s="64"/>
      <c r="H33" s="65"/>
      <c r="I33" s="65"/>
      <c r="J33" s="65"/>
      <c r="K33" s="65"/>
      <c r="L33" s="65"/>
      <c r="M33" s="65"/>
      <c r="N33" s="65"/>
      <c r="O33" s="65"/>
      <c r="P33" s="66">
        <f t="shared" si="0"/>
        <v>0</v>
      </c>
    </row>
    <row r="34" spans="1:16">
      <c r="A34" s="3">
        <v>32</v>
      </c>
      <c r="B34" s="3" t="s">
        <v>1</v>
      </c>
      <c r="C34" s="3"/>
      <c r="D34" s="64"/>
      <c r="E34" s="64"/>
      <c r="F34" s="64"/>
      <c r="G34" s="64"/>
      <c r="H34" s="65"/>
      <c r="I34" s="65"/>
      <c r="J34" s="65"/>
      <c r="K34" s="65"/>
      <c r="L34" s="65"/>
      <c r="M34" s="65"/>
      <c r="N34" s="65"/>
      <c r="O34" s="65"/>
      <c r="P34" s="66">
        <f t="shared" si="0"/>
        <v>0</v>
      </c>
    </row>
    <row r="35" spans="1:16">
      <c r="A35" s="3">
        <v>33</v>
      </c>
      <c r="B35" s="3" t="s">
        <v>1</v>
      </c>
      <c r="C35" s="3"/>
      <c r="D35" s="64"/>
      <c r="E35" s="64"/>
      <c r="F35" s="64"/>
      <c r="G35" s="64"/>
      <c r="H35" s="65"/>
      <c r="I35" s="65"/>
      <c r="J35" s="65"/>
      <c r="K35" s="65"/>
      <c r="L35" s="65"/>
      <c r="M35" s="65"/>
      <c r="N35" s="65"/>
      <c r="O35" s="65"/>
      <c r="P35" s="66">
        <f t="shared" si="0"/>
        <v>0</v>
      </c>
    </row>
    <row r="36" spans="1:16">
      <c r="A36" s="3">
        <v>34</v>
      </c>
      <c r="B36" s="3" t="s">
        <v>1</v>
      </c>
      <c r="C36" s="3"/>
      <c r="D36" s="64"/>
      <c r="E36" s="64"/>
      <c r="F36" s="64"/>
      <c r="G36" s="64"/>
      <c r="H36" s="65"/>
      <c r="I36" s="65"/>
      <c r="J36" s="65"/>
      <c r="K36" s="65"/>
      <c r="L36" s="65"/>
      <c r="M36" s="65"/>
      <c r="N36" s="65"/>
      <c r="O36" s="65"/>
      <c r="P36" s="66">
        <f t="shared" si="0"/>
        <v>0</v>
      </c>
    </row>
    <row r="37" spans="1:16">
      <c r="A37" s="3">
        <v>35</v>
      </c>
      <c r="B37" s="3" t="s">
        <v>1</v>
      </c>
      <c r="C37" s="3"/>
      <c r="D37" s="64"/>
      <c r="E37" s="64"/>
      <c r="F37" s="64"/>
      <c r="G37" s="64"/>
      <c r="H37" s="65"/>
      <c r="I37" s="65"/>
      <c r="J37" s="65"/>
      <c r="K37" s="65"/>
      <c r="L37" s="65"/>
      <c r="M37" s="65"/>
      <c r="N37" s="65"/>
      <c r="O37" s="65"/>
      <c r="P37" s="66">
        <f t="shared" si="0"/>
        <v>0</v>
      </c>
    </row>
    <row r="38" spans="1:16">
      <c r="A38" s="3">
        <v>36</v>
      </c>
      <c r="B38" s="3" t="s">
        <v>1</v>
      </c>
      <c r="C38" s="3"/>
      <c r="D38" s="64"/>
      <c r="E38" s="64"/>
      <c r="F38" s="64"/>
      <c r="G38" s="64"/>
      <c r="H38" s="65"/>
      <c r="I38" s="65"/>
      <c r="J38" s="65"/>
      <c r="K38" s="65"/>
      <c r="L38" s="65"/>
      <c r="M38" s="65"/>
      <c r="N38" s="65"/>
      <c r="O38" s="65"/>
      <c r="P38" s="66">
        <f t="shared" si="0"/>
        <v>0</v>
      </c>
    </row>
    <row r="39" spans="1:16">
      <c r="A39" s="3">
        <v>37</v>
      </c>
      <c r="B39" s="3" t="s">
        <v>1</v>
      </c>
      <c r="C39" s="3"/>
      <c r="D39" s="64"/>
      <c r="E39" s="64"/>
      <c r="F39" s="64"/>
      <c r="G39" s="64"/>
      <c r="H39" s="65"/>
      <c r="I39" s="65"/>
      <c r="J39" s="65"/>
      <c r="K39" s="65"/>
      <c r="L39" s="65"/>
      <c r="M39" s="65"/>
      <c r="N39" s="65"/>
      <c r="O39" s="65"/>
      <c r="P39" s="66">
        <f t="shared" si="0"/>
        <v>0</v>
      </c>
    </row>
    <row r="40" spans="1:16">
      <c r="A40" s="3">
        <v>38</v>
      </c>
      <c r="B40" s="3" t="s">
        <v>1</v>
      </c>
      <c r="C40" s="3"/>
      <c r="D40" s="64"/>
      <c r="E40" s="64"/>
      <c r="F40" s="64"/>
      <c r="G40" s="64"/>
      <c r="H40" s="65"/>
      <c r="I40" s="65"/>
      <c r="J40" s="65"/>
      <c r="K40" s="65"/>
      <c r="L40" s="65"/>
      <c r="M40" s="65"/>
      <c r="N40" s="65"/>
      <c r="O40" s="65"/>
      <c r="P40" s="66">
        <f t="shared" si="0"/>
        <v>0</v>
      </c>
    </row>
    <row r="41" spans="1:16">
      <c r="A41" s="3">
        <v>39</v>
      </c>
      <c r="B41" s="3" t="s">
        <v>1</v>
      </c>
      <c r="C41" s="3"/>
      <c r="D41" s="64"/>
      <c r="E41" s="64"/>
      <c r="F41" s="64"/>
      <c r="G41" s="64"/>
      <c r="H41" s="65"/>
      <c r="I41" s="65"/>
      <c r="J41" s="65"/>
      <c r="K41" s="65"/>
      <c r="L41" s="65"/>
      <c r="M41" s="65"/>
      <c r="N41" s="65"/>
      <c r="O41" s="65"/>
      <c r="P41" s="66">
        <f t="shared" si="0"/>
        <v>0</v>
      </c>
    </row>
    <row r="42" spans="1:16">
      <c r="A42" s="3">
        <v>40</v>
      </c>
      <c r="B42" s="3" t="s">
        <v>1</v>
      </c>
      <c r="C42" s="3"/>
      <c r="D42" s="64"/>
      <c r="E42" s="64"/>
      <c r="F42" s="64"/>
      <c r="G42" s="64"/>
      <c r="H42" s="65"/>
      <c r="I42" s="65"/>
      <c r="J42" s="65"/>
      <c r="K42" s="65"/>
      <c r="L42" s="65"/>
      <c r="M42" s="65"/>
      <c r="N42" s="65"/>
      <c r="O42" s="65"/>
      <c r="P42" s="66">
        <f t="shared" si="0"/>
        <v>0</v>
      </c>
    </row>
    <row r="43" spans="1:16">
      <c r="A43" s="3">
        <v>41</v>
      </c>
      <c r="B43" s="3" t="s">
        <v>1</v>
      </c>
      <c r="C43" s="3"/>
      <c r="D43" s="64"/>
      <c r="E43" s="64"/>
      <c r="F43" s="64"/>
      <c r="G43" s="64"/>
      <c r="H43" s="65"/>
      <c r="I43" s="65"/>
      <c r="J43" s="65"/>
      <c r="K43" s="65"/>
      <c r="L43" s="65"/>
      <c r="M43" s="65"/>
      <c r="N43" s="65"/>
      <c r="O43" s="65"/>
      <c r="P43" s="66">
        <f t="shared" si="0"/>
        <v>0</v>
      </c>
    </row>
    <row r="44" spans="1:16">
      <c r="A44" s="3">
        <v>42</v>
      </c>
      <c r="B44" s="3" t="s">
        <v>1</v>
      </c>
      <c r="C44" s="3"/>
      <c r="D44" s="64"/>
      <c r="E44" s="64"/>
      <c r="F44" s="64"/>
      <c r="G44" s="64"/>
      <c r="H44" s="65"/>
      <c r="I44" s="65"/>
      <c r="J44" s="65"/>
      <c r="K44" s="65"/>
      <c r="L44" s="65"/>
      <c r="M44" s="65"/>
      <c r="N44" s="65"/>
      <c r="O44" s="65"/>
      <c r="P44" s="66">
        <f t="shared" si="0"/>
        <v>0</v>
      </c>
    </row>
    <row r="45" spans="1:16">
      <c r="A45" s="3">
        <v>43</v>
      </c>
      <c r="B45" s="3" t="s">
        <v>1</v>
      </c>
      <c r="C45" s="3"/>
      <c r="D45" s="64"/>
      <c r="E45" s="64"/>
      <c r="F45" s="64"/>
      <c r="G45" s="64"/>
      <c r="H45" s="65"/>
      <c r="I45" s="65"/>
      <c r="J45" s="65"/>
      <c r="K45" s="65"/>
      <c r="L45" s="65"/>
      <c r="M45" s="65"/>
      <c r="N45" s="65"/>
      <c r="O45" s="65"/>
      <c r="P45" s="66">
        <f t="shared" si="0"/>
        <v>0</v>
      </c>
    </row>
    <row r="46" spans="1:16">
      <c r="A46" s="3">
        <v>44</v>
      </c>
      <c r="B46" s="3" t="s">
        <v>1</v>
      </c>
      <c r="C46" s="3"/>
      <c r="D46" s="64"/>
      <c r="E46" s="64"/>
      <c r="F46" s="64"/>
      <c r="G46" s="64"/>
      <c r="H46" s="65"/>
      <c r="I46" s="65"/>
      <c r="J46" s="65"/>
      <c r="K46" s="65"/>
      <c r="L46" s="65"/>
      <c r="M46" s="65"/>
      <c r="N46" s="65"/>
      <c r="O46" s="65"/>
      <c r="P46" s="66">
        <f t="shared" si="0"/>
        <v>0</v>
      </c>
    </row>
    <row r="47" spans="1:16">
      <c r="A47" s="3">
        <v>45</v>
      </c>
      <c r="B47" s="3" t="s">
        <v>1</v>
      </c>
      <c r="C47" s="3"/>
      <c r="D47" s="64"/>
      <c r="E47" s="64"/>
      <c r="F47" s="64"/>
      <c r="G47" s="64"/>
      <c r="H47" s="65"/>
      <c r="I47" s="65"/>
      <c r="J47" s="65"/>
      <c r="K47" s="65"/>
      <c r="L47" s="65"/>
      <c r="M47" s="65"/>
      <c r="N47" s="65"/>
      <c r="O47" s="65"/>
      <c r="P47" s="66">
        <f t="shared" si="0"/>
        <v>0</v>
      </c>
    </row>
    <row r="48" spans="1:16">
      <c r="A48" s="3">
        <v>46</v>
      </c>
      <c r="B48" s="3" t="s">
        <v>1</v>
      </c>
      <c r="C48" s="3"/>
      <c r="D48" s="64"/>
      <c r="E48" s="64"/>
      <c r="F48" s="64"/>
      <c r="G48" s="64"/>
      <c r="H48" s="65"/>
      <c r="I48" s="65"/>
      <c r="J48" s="65"/>
      <c r="K48" s="65"/>
      <c r="L48" s="65"/>
      <c r="M48" s="65"/>
      <c r="N48" s="65"/>
      <c r="O48" s="65"/>
      <c r="P48" s="66">
        <f t="shared" si="0"/>
        <v>0</v>
      </c>
    </row>
    <row r="49" spans="1:16">
      <c r="A49" s="3">
        <v>47</v>
      </c>
      <c r="B49" s="3" t="s">
        <v>1</v>
      </c>
      <c r="C49" s="3"/>
      <c r="D49" s="64"/>
      <c r="E49" s="64"/>
      <c r="F49" s="64"/>
      <c r="G49" s="64"/>
      <c r="H49" s="65"/>
      <c r="I49" s="65"/>
      <c r="J49" s="65"/>
      <c r="K49" s="65"/>
      <c r="L49" s="65"/>
      <c r="M49" s="65"/>
      <c r="N49" s="65"/>
      <c r="O49" s="65"/>
      <c r="P49" s="66">
        <f t="shared" si="0"/>
        <v>0</v>
      </c>
    </row>
    <row r="50" spans="1:16">
      <c r="A50" s="3">
        <v>48</v>
      </c>
      <c r="B50" s="3" t="s">
        <v>1</v>
      </c>
      <c r="C50" s="3"/>
      <c r="D50" s="64"/>
      <c r="E50" s="64"/>
      <c r="F50" s="64"/>
      <c r="G50" s="64"/>
      <c r="H50" s="65"/>
      <c r="I50" s="65"/>
      <c r="J50" s="65"/>
      <c r="K50" s="65"/>
      <c r="L50" s="65"/>
      <c r="M50" s="65"/>
      <c r="N50" s="65"/>
      <c r="O50" s="65"/>
      <c r="P50" s="66">
        <f t="shared" si="0"/>
        <v>0</v>
      </c>
    </row>
    <row r="51" spans="1:16">
      <c r="A51" s="3">
        <v>49</v>
      </c>
      <c r="B51" s="3" t="s">
        <v>1</v>
      </c>
      <c r="C51" s="3"/>
      <c r="D51" s="64"/>
      <c r="E51" s="64"/>
      <c r="F51" s="64"/>
      <c r="G51" s="64"/>
      <c r="H51" s="65"/>
      <c r="I51" s="65"/>
      <c r="J51" s="65"/>
      <c r="K51" s="65"/>
      <c r="L51" s="65"/>
      <c r="M51" s="65"/>
      <c r="N51" s="65"/>
      <c r="O51" s="65"/>
      <c r="P51" s="66">
        <f t="shared" si="0"/>
        <v>0</v>
      </c>
    </row>
    <row r="52" spans="1:16">
      <c r="A52" s="3">
        <v>50</v>
      </c>
      <c r="B52" s="3" t="s">
        <v>1</v>
      </c>
      <c r="C52" s="3"/>
      <c r="D52" s="64"/>
      <c r="E52" s="64"/>
      <c r="F52" s="64"/>
      <c r="G52" s="64"/>
      <c r="H52" s="65"/>
      <c r="I52" s="65"/>
      <c r="J52" s="65"/>
      <c r="K52" s="65"/>
      <c r="L52" s="65"/>
      <c r="M52" s="65"/>
      <c r="N52" s="65"/>
      <c r="O52" s="65"/>
      <c r="P52" s="66">
        <f t="shared" si="0"/>
        <v>0</v>
      </c>
    </row>
    <row r="53" spans="1:16">
      <c r="A53" s="3">
        <v>51</v>
      </c>
      <c r="B53" s="3" t="s">
        <v>1</v>
      </c>
      <c r="C53" s="3"/>
      <c r="D53" s="64"/>
      <c r="E53" s="64"/>
      <c r="F53" s="64"/>
      <c r="G53" s="64"/>
      <c r="H53" s="65"/>
      <c r="I53" s="65"/>
      <c r="J53" s="65"/>
      <c r="K53" s="65"/>
      <c r="L53" s="65"/>
      <c r="M53" s="65"/>
      <c r="N53" s="65"/>
      <c r="O53" s="65"/>
      <c r="P53" s="66">
        <f t="shared" si="0"/>
        <v>0</v>
      </c>
    </row>
    <row r="54" spans="1:16">
      <c r="A54" s="3">
        <v>52</v>
      </c>
      <c r="B54" s="3" t="s">
        <v>1</v>
      </c>
      <c r="C54" s="3"/>
      <c r="D54" s="64"/>
      <c r="E54" s="64"/>
      <c r="F54" s="64"/>
      <c r="G54" s="64"/>
      <c r="H54" s="65"/>
      <c r="I54" s="65"/>
      <c r="J54" s="65"/>
      <c r="K54" s="65"/>
      <c r="L54" s="65"/>
      <c r="M54" s="65"/>
      <c r="N54" s="65"/>
      <c r="O54" s="65"/>
      <c r="P54" s="66">
        <f t="shared" si="0"/>
        <v>0</v>
      </c>
    </row>
    <row r="55" spans="1:16">
      <c r="A55" s="3">
        <v>53</v>
      </c>
      <c r="B55" s="3" t="s">
        <v>1</v>
      </c>
      <c r="C55" s="3"/>
      <c r="D55" s="64"/>
      <c r="E55" s="64"/>
      <c r="F55" s="64"/>
      <c r="G55" s="64"/>
      <c r="H55" s="65"/>
      <c r="I55" s="65"/>
      <c r="J55" s="65"/>
      <c r="K55" s="65"/>
      <c r="L55" s="65"/>
      <c r="M55" s="65"/>
      <c r="N55" s="65"/>
      <c r="O55" s="65"/>
      <c r="P55" s="66">
        <f t="shared" si="0"/>
        <v>0</v>
      </c>
    </row>
    <row r="56" spans="1:16">
      <c r="A56" s="3">
        <v>54</v>
      </c>
      <c r="B56" s="3" t="s">
        <v>1</v>
      </c>
      <c r="C56" s="3"/>
      <c r="D56" s="64"/>
      <c r="E56" s="64"/>
      <c r="F56" s="64"/>
      <c r="G56" s="64"/>
      <c r="H56" s="65"/>
      <c r="I56" s="65"/>
      <c r="J56" s="65"/>
      <c r="K56" s="65"/>
      <c r="L56" s="65"/>
      <c r="M56" s="65"/>
      <c r="N56" s="65"/>
      <c r="O56" s="65"/>
      <c r="P56" s="66">
        <f t="shared" si="0"/>
        <v>0</v>
      </c>
    </row>
    <row r="57" spans="1:16">
      <c r="A57" s="3">
        <v>55</v>
      </c>
      <c r="B57" s="3" t="s">
        <v>1</v>
      </c>
      <c r="C57" s="3"/>
      <c r="D57" s="64"/>
      <c r="E57" s="64"/>
      <c r="F57" s="64"/>
      <c r="G57" s="64"/>
      <c r="H57" s="65"/>
      <c r="I57" s="65"/>
      <c r="J57" s="65"/>
      <c r="K57" s="65"/>
      <c r="L57" s="65"/>
      <c r="M57" s="65"/>
      <c r="N57" s="65"/>
      <c r="O57" s="65"/>
      <c r="P57" s="66">
        <f t="shared" si="0"/>
        <v>0</v>
      </c>
    </row>
    <row r="58" spans="1:16">
      <c r="A58" s="3">
        <v>56</v>
      </c>
      <c r="B58" s="3" t="s">
        <v>1</v>
      </c>
      <c r="C58" s="3"/>
      <c r="D58" s="64"/>
      <c r="E58" s="64"/>
      <c r="F58" s="64"/>
      <c r="G58" s="64"/>
      <c r="H58" s="65"/>
      <c r="I58" s="65"/>
      <c r="J58" s="65"/>
      <c r="K58" s="65"/>
      <c r="L58" s="65"/>
      <c r="M58" s="65"/>
      <c r="N58" s="65"/>
      <c r="O58" s="65"/>
      <c r="P58" s="66">
        <f t="shared" si="0"/>
        <v>0</v>
      </c>
    </row>
    <row r="59" spans="1:16">
      <c r="A59" s="3">
        <v>57</v>
      </c>
      <c r="B59" s="3" t="s">
        <v>1</v>
      </c>
      <c r="C59" s="3"/>
      <c r="D59" s="64"/>
      <c r="E59" s="64"/>
      <c r="F59" s="64"/>
      <c r="G59" s="64"/>
      <c r="H59" s="65"/>
      <c r="I59" s="65"/>
      <c r="J59" s="65"/>
      <c r="K59" s="65"/>
      <c r="L59" s="65"/>
      <c r="M59" s="65"/>
      <c r="N59" s="65"/>
      <c r="O59" s="65"/>
      <c r="P59" s="66">
        <f t="shared" si="0"/>
        <v>0</v>
      </c>
    </row>
    <row r="60" spans="1:16">
      <c r="A60" s="3">
        <v>58</v>
      </c>
      <c r="B60" s="3" t="s">
        <v>1</v>
      </c>
      <c r="C60" s="3"/>
      <c r="D60" s="64"/>
      <c r="E60" s="64"/>
      <c r="F60" s="64"/>
      <c r="G60" s="64"/>
      <c r="H60" s="65"/>
      <c r="I60" s="65"/>
      <c r="J60" s="65"/>
      <c r="K60" s="65"/>
      <c r="L60" s="65"/>
      <c r="M60" s="65"/>
      <c r="N60" s="65"/>
      <c r="O60" s="65"/>
      <c r="P60" s="66">
        <f t="shared" si="0"/>
        <v>0</v>
      </c>
    </row>
    <row r="61" spans="1:16">
      <c r="A61" s="3">
        <v>59</v>
      </c>
      <c r="B61" s="3" t="s">
        <v>1</v>
      </c>
      <c r="C61" s="3"/>
      <c r="D61" s="64"/>
      <c r="E61" s="64"/>
      <c r="F61" s="64"/>
      <c r="G61" s="64"/>
      <c r="H61" s="65"/>
      <c r="I61" s="65"/>
      <c r="J61" s="65"/>
      <c r="K61" s="65"/>
      <c r="L61" s="65"/>
      <c r="M61" s="65"/>
      <c r="N61" s="65"/>
      <c r="O61" s="65"/>
      <c r="P61" s="66">
        <f t="shared" si="0"/>
        <v>0</v>
      </c>
    </row>
    <row r="62" spans="1:16">
      <c r="A62" s="3">
        <v>60</v>
      </c>
      <c r="B62" s="3" t="s">
        <v>1</v>
      </c>
      <c r="C62" s="3"/>
      <c r="D62" s="64"/>
      <c r="E62" s="64"/>
      <c r="F62" s="64"/>
      <c r="G62" s="64"/>
      <c r="H62" s="65"/>
      <c r="I62" s="65"/>
      <c r="J62" s="65"/>
      <c r="K62" s="65"/>
      <c r="L62" s="65"/>
      <c r="M62" s="65"/>
      <c r="N62" s="65"/>
      <c r="O62" s="65"/>
      <c r="P62" s="66">
        <f t="shared" si="0"/>
        <v>0</v>
      </c>
    </row>
    <row r="63" spans="1:16">
      <c r="A63" s="3">
        <v>61</v>
      </c>
      <c r="B63" s="3" t="s">
        <v>1</v>
      </c>
      <c r="C63" s="3"/>
      <c r="D63" s="64"/>
      <c r="E63" s="64"/>
      <c r="F63" s="64"/>
      <c r="G63" s="64"/>
      <c r="H63" s="65"/>
      <c r="I63" s="65"/>
      <c r="J63" s="65"/>
      <c r="K63" s="65"/>
      <c r="L63" s="65"/>
      <c r="M63" s="65"/>
      <c r="N63" s="65"/>
      <c r="O63" s="65"/>
      <c r="P63" s="66">
        <f t="shared" si="0"/>
        <v>0</v>
      </c>
    </row>
    <row r="64" spans="1:16">
      <c r="A64" s="3">
        <v>62</v>
      </c>
      <c r="B64" s="3" t="s">
        <v>1</v>
      </c>
      <c r="C64" s="3"/>
      <c r="D64" s="64"/>
      <c r="E64" s="64"/>
      <c r="F64" s="64"/>
      <c r="G64" s="64"/>
      <c r="H64" s="65"/>
      <c r="I64" s="65"/>
      <c r="J64" s="65"/>
      <c r="K64" s="65"/>
      <c r="L64" s="65"/>
      <c r="M64" s="65"/>
      <c r="N64" s="65"/>
      <c r="O64" s="65"/>
      <c r="P64" s="66">
        <f t="shared" si="0"/>
        <v>0</v>
      </c>
    </row>
    <row r="65" spans="1:16">
      <c r="A65" s="3">
        <v>63</v>
      </c>
      <c r="B65" s="3" t="s">
        <v>1</v>
      </c>
      <c r="C65" s="3"/>
      <c r="D65" s="64"/>
      <c r="E65" s="64"/>
      <c r="F65" s="64"/>
      <c r="G65" s="64"/>
      <c r="H65" s="65"/>
      <c r="I65" s="65"/>
      <c r="J65" s="65"/>
      <c r="K65" s="65"/>
      <c r="L65" s="65"/>
      <c r="M65" s="65"/>
      <c r="N65" s="65"/>
      <c r="O65" s="65"/>
      <c r="P65" s="66">
        <f t="shared" si="0"/>
        <v>0</v>
      </c>
    </row>
    <row r="66" spans="1:16">
      <c r="A66" s="3">
        <v>64</v>
      </c>
      <c r="B66" s="3" t="s">
        <v>1</v>
      </c>
      <c r="C66" s="3"/>
      <c r="D66" s="64"/>
      <c r="E66" s="64"/>
      <c r="F66" s="64"/>
      <c r="G66" s="64"/>
      <c r="H66" s="65"/>
      <c r="I66" s="65"/>
      <c r="J66" s="65"/>
      <c r="K66" s="65"/>
      <c r="L66" s="65"/>
      <c r="M66" s="65"/>
      <c r="N66" s="65"/>
      <c r="O66" s="65"/>
      <c r="P66" s="66">
        <f t="shared" si="0"/>
        <v>0</v>
      </c>
    </row>
    <row r="67" spans="1:16">
      <c r="A67" s="3">
        <v>65</v>
      </c>
      <c r="B67" s="3" t="s">
        <v>1</v>
      </c>
      <c r="C67" s="3"/>
      <c r="D67" s="64"/>
      <c r="E67" s="64"/>
      <c r="F67" s="64"/>
      <c r="G67" s="64"/>
      <c r="H67" s="65"/>
      <c r="I67" s="65"/>
      <c r="J67" s="65"/>
      <c r="K67" s="65"/>
      <c r="L67" s="65"/>
      <c r="M67" s="65"/>
      <c r="N67" s="65"/>
      <c r="O67" s="65"/>
      <c r="P67" s="66">
        <f t="shared" si="0"/>
        <v>0</v>
      </c>
    </row>
    <row r="68" spans="1:16">
      <c r="A68" s="3">
        <v>66</v>
      </c>
      <c r="B68" s="3" t="s">
        <v>1</v>
      </c>
      <c r="C68" s="3"/>
      <c r="D68" s="64"/>
      <c r="E68" s="64"/>
      <c r="F68" s="64"/>
      <c r="G68" s="64"/>
      <c r="H68" s="65"/>
      <c r="I68" s="65"/>
      <c r="J68" s="65"/>
      <c r="K68" s="65"/>
      <c r="L68" s="65"/>
      <c r="M68" s="65"/>
      <c r="N68" s="65"/>
      <c r="O68" s="65"/>
      <c r="P68" s="66">
        <f t="shared" ref="P68:P97" si="1">SUM(D68:O68)</f>
        <v>0</v>
      </c>
    </row>
    <row r="69" spans="1:16">
      <c r="A69" s="3">
        <v>67</v>
      </c>
      <c r="B69" s="3" t="s">
        <v>1</v>
      </c>
      <c r="C69" s="3"/>
      <c r="D69" s="64"/>
      <c r="E69" s="64"/>
      <c r="F69" s="64"/>
      <c r="G69" s="64"/>
      <c r="H69" s="65"/>
      <c r="I69" s="65"/>
      <c r="J69" s="65"/>
      <c r="K69" s="65"/>
      <c r="L69" s="65"/>
      <c r="M69" s="65"/>
      <c r="N69" s="65"/>
      <c r="O69" s="65"/>
      <c r="P69" s="66">
        <f t="shared" si="1"/>
        <v>0</v>
      </c>
    </row>
    <row r="70" spans="1:16">
      <c r="A70" s="3">
        <v>68</v>
      </c>
      <c r="B70" s="3" t="s">
        <v>1</v>
      </c>
      <c r="C70" s="3"/>
      <c r="D70" s="64"/>
      <c r="E70" s="64"/>
      <c r="F70" s="64"/>
      <c r="G70" s="64"/>
      <c r="H70" s="65"/>
      <c r="I70" s="65"/>
      <c r="J70" s="65"/>
      <c r="K70" s="65"/>
      <c r="L70" s="65"/>
      <c r="M70" s="65"/>
      <c r="N70" s="65"/>
      <c r="O70" s="65"/>
      <c r="P70" s="66">
        <f t="shared" si="1"/>
        <v>0</v>
      </c>
    </row>
    <row r="71" spans="1:16">
      <c r="A71" s="3">
        <v>69</v>
      </c>
      <c r="B71" s="3" t="s">
        <v>1</v>
      </c>
      <c r="C71" s="3"/>
      <c r="D71" s="64"/>
      <c r="E71" s="64"/>
      <c r="F71" s="64"/>
      <c r="G71" s="64"/>
      <c r="H71" s="65"/>
      <c r="I71" s="65"/>
      <c r="J71" s="65"/>
      <c r="K71" s="65"/>
      <c r="L71" s="65"/>
      <c r="M71" s="65"/>
      <c r="N71" s="65"/>
      <c r="O71" s="65"/>
      <c r="P71" s="66">
        <f t="shared" si="1"/>
        <v>0</v>
      </c>
    </row>
    <row r="72" spans="1:16">
      <c r="A72" s="3">
        <v>70</v>
      </c>
      <c r="B72" s="3" t="s">
        <v>1</v>
      </c>
      <c r="C72" s="3"/>
      <c r="D72" s="64"/>
      <c r="E72" s="64"/>
      <c r="F72" s="64"/>
      <c r="G72" s="64"/>
      <c r="H72" s="65"/>
      <c r="I72" s="65"/>
      <c r="J72" s="65"/>
      <c r="K72" s="65"/>
      <c r="L72" s="65"/>
      <c r="M72" s="65"/>
      <c r="N72" s="65"/>
      <c r="O72" s="65"/>
      <c r="P72" s="66">
        <f t="shared" si="1"/>
        <v>0</v>
      </c>
    </row>
    <row r="73" spans="1:16">
      <c r="A73" s="3">
        <v>71</v>
      </c>
      <c r="B73" s="3" t="s">
        <v>1</v>
      </c>
      <c r="C73" s="3"/>
      <c r="D73" s="64"/>
      <c r="E73" s="64"/>
      <c r="F73" s="64"/>
      <c r="G73" s="64"/>
      <c r="H73" s="65"/>
      <c r="I73" s="65"/>
      <c r="J73" s="65"/>
      <c r="K73" s="65"/>
      <c r="L73" s="65"/>
      <c r="M73" s="65"/>
      <c r="N73" s="65"/>
      <c r="O73" s="65"/>
      <c r="P73" s="66">
        <f t="shared" si="1"/>
        <v>0</v>
      </c>
    </row>
    <row r="74" spans="1:16">
      <c r="A74" s="3">
        <v>72</v>
      </c>
      <c r="B74" s="3" t="s">
        <v>1</v>
      </c>
      <c r="C74" s="3"/>
      <c r="D74" s="64"/>
      <c r="E74" s="64"/>
      <c r="F74" s="64"/>
      <c r="G74" s="64"/>
      <c r="H74" s="65"/>
      <c r="I74" s="65"/>
      <c r="J74" s="65"/>
      <c r="K74" s="65"/>
      <c r="L74" s="65"/>
      <c r="M74" s="65"/>
      <c r="N74" s="65"/>
      <c r="O74" s="65"/>
      <c r="P74" s="66">
        <f t="shared" si="1"/>
        <v>0</v>
      </c>
    </row>
    <row r="75" spans="1:16">
      <c r="A75" s="3">
        <v>73</v>
      </c>
      <c r="B75" s="3" t="s">
        <v>1</v>
      </c>
      <c r="C75" s="3"/>
      <c r="D75" s="64"/>
      <c r="E75" s="64"/>
      <c r="F75" s="64"/>
      <c r="G75" s="64"/>
      <c r="H75" s="65"/>
      <c r="I75" s="65"/>
      <c r="J75" s="65"/>
      <c r="K75" s="65"/>
      <c r="L75" s="65"/>
      <c r="M75" s="65"/>
      <c r="N75" s="65"/>
      <c r="O75" s="65"/>
      <c r="P75" s="66">
        <f t="shared" si="1"/>
        <v>0</v>
      </c>
    </row>
    <row r="76" spans="1:16">
      <c r="A76" s="3">
        <v>74</v>
      </c>
      <c r="B76" s="3" t="s">
        <v>1</v>
      </c>
      <c r="C76" s="3"/>
      <c r="D76" s="64"/>
      <c r="E76" s="64"/>
      <c r="F76" s="64"/>
      <c r="G76" s="64"/>
      <c r="H76" s="65"/>
      <c r="I76" s="65"/>
      <c r="J76" s="65"/>
      <c r="K76" s="65"/>
      <c r="L76" s="65"/>
      <c r="M76" s="65"/>
      <c r="N76" s="65"/>
      <c r="O76" s="65"/>
      <c r="P76" s="66">
        <f t="shared" si="1"/>
        <v>0</v>
      </c>
    </row>
    <row r="77" spans="1:16">
      <c r="A77" s="3">
        <v>75</v>
      </c>
      <c r="B77" s="3" t="s">
        <v>1</v>
      </c>
      <c r="C77" s="3"/>
      <c r="D77" s="64"/>
      <c r="E77" s="64"/>
      <c r="F77" s="64"/>
      <c r="G77" s="64"/>
      <c r="H77" s="65"/>
      <c r="I77" s="65"/>
      <c r="J77" s="65"/>
      <c r="K77" s="65"/>
      <c r="L77" s="65"/>
      <c r="M77" s="65"/>
      <c r="N77" s="65"/>
      <c r="O77" s="65"/>
      <c r="P77" s="66">
        <f t="shared" si="1"/>
        <v>0</v>
      </c>
    </row>
    <row r="78" spans="1:16">
      <c r="A78" s="3">
        <v>76</v>
      </c>
      <c r="B78" s="3" t="s">
        <v>1</v>
      </c>
      <c r="C78" s="67"/>
      <c r="D78" s="68"/>
      <c r="E78" s="68"/>
      <c r="F78" s="68"/>
      <c r="G78" s="68"/>
      <c r="H78" s="65"/>
      <c r="I78" s="65"/>
      <c r="J78" s="65"/>
      <c r="K78" s="65"/>
      <c r="L78" s="65"/>
      <c r="M78" s="65"/>
      <c r="N78" s="65"/>
      <c r="O78" s="65"/>
      <c r="P78" s="66">
        <f t="shared" si="1"/>
        <v>0</v>
      </c>
    </row>
    <row r="79" spans="1:16">
      <c r="A79" s="3">
        <v>77</v>
      </c>
      <c r="B79" s="3" t="s">
        <v>1</v>
      </c>
      <c r="C79" s="3"/>
      <c r="D79" s="64"/>
      <c r="E79" s="64"/>
      <c r="F79" s="64"/>
      <c r="G79" s="64"/>
      <c r="H79" s="65"/>
      <c r="I79" s="65"/>
      <c r="J79" s="65"/>
      <c r="K79" s="65"/>
      <c r="L79" s="65"/>
      <c r="M79" s="65"/>
      <c r="N79" s="65"/>
      <c r="O79" s="65"/>
      <c r="P79" s="66">
        <f t="shared" si="1"/>
        <v>0</v>
      </c>
    </row>
    <row r="80" spans="1:16">
      <c r="A80" s="3">
        <v>78</v>
      </c>
      <c r="B80" s="3" t="s">
        <v>1</v>
      </c>
      <c r="C80" s="3"/>
      <c r="D80" s="64"/>
      <c r="E80" s="64"/>
      <c r="F80" s="64"/>
      <c r="G80" s="64"/>
      <c r="H80" s="65"/>
      <c r="I80" s="65"/>
      <c r="J80" s="65"/>
      <c r="K80" s="65"/>
      <c r="L80" s="65"/>
      <c r="M80" s="65"/>
      <c r="N80" s="65"/>
      <c r="O80" s="65"/>
      <c r="P80" s="66">
        <f t="shared" si="1"/>
        <v>0</v>
      </c>
    </row>
    <row r="81" spans="1:16">
      <c r="A81" s="67">
        <v>79</v>
      </c>
      <c r="B81" s="3" t="s">
        <v>1</v>
      </c>
      <c r="C81" s="3"/>
      <c r="D81" s="64"/>
      <c r="E81" s="64"/>
      <c r="F81" s="64"/>
      <c r="G81" s="64"/>
      <c r="H81" s="65"/>
      <c r="I81" s="65"/>
      <c r="J81" s="65"/>
      <c r="K81" s="65"/>
      <c r="L81" s="65"/>
      <c r="M81" s="65"/>
      <c r="N81" s="65"/>
      <c r="O81" s="65"/>
      <c r="P81" s="66">
        <f t="shared" si="1"/>
        <v>0</v>
      </c>
    </row>
    <row r="82" spans="1:16">
      <c r="A82" s="3">
        <v>80</v>
      </c>
      <c r="B82" s="3" t="s">
        <v>1</v>
      </c>
      <c r="C82" s="3"/>
      <c r="D82" s="64"/>
      <c r="E82" s="64"/>
      <c r="F82" s="64"/>
      <c r="G82" s="64"/>
      <c r="H82" s="65"/>
      <c r="I82" s="65"/>
      <c r="J82" s="65"/>
      <c r="K82" s="65"/>
      <c r="L82" s="65"/>
      <c r="M82" s="65"/>
      <c r="N82" s="65"/>
      <c r="O82" s="65"/>
      <c r="P82" s="66">
        <f t="shared" si="1"/>
        <v>0</v>
      </c>
    </row>
    <row r="83" spans="1:16">
      <c r="A83" s="3">
        <v>81</v>
      </c>
      <c r="B83" s="3" t="s">
        <v>1</v>
      </c>
      <c r="C83" s="3"/>
      <c r="D83" s="64"/>
      <c r="E83" s="64"/>
      <c r="F83" s="64"/>
      <c r="G83" s="64"/>
      <c r="H83" s="65"/>
      <c r="I83" s="65"/>
      <c r="J83" s="65"/>
      <c r="K83" s="65"/>
      <c r="L83" s="65"/>
      <c r="M83" s="65"/>
      <c r="N83" s="65"/>
      <c r="O83" s="65"/>
      <c r="P83" s="66">
        <f t="shared" si="1"/>
        <v>0</v>
      </c>
    </row>
    <row r="84" spans="1:16">
      <c r="A84" s="3">
        <v>82</v>
      </c>
      <c r="B84" s="3" t="s">
        <v>1</v>
      </c>
      <c r="C84" s="3"/>
      <c r="D84" s="64"/>
      <c r="E84" s="64"/>
      <c r="F84" s="64"/>
      <c r="G84" s="64"/>
      <c r="H84" s="65"/>
      <c r="I84" s="65"/>
      <c r="J84" s="65"/>
      <c r="K84" s="65"/>
      <c r="L84" s="65"/>
      <c r="M84" s="65"/>
      <c r="N84" s="65"/>
      <c r="O84" s="65"/>
      <c r="P84" s="66">
        <f t="shared" si="1"/>
        <v>0</v>
      </c>
    </row>
    <row r="85" spans="1:16">
      <c r="A85" s="3">
        <v>83</v>
      </c>
      <c r="B85" s="3" t="s">
        <v>1</v>
      </c>
      <c r="C85" s="3"/>
      <c r="D85" s="64"/>
      <c r="E85" s="64"/>
      <c r="F85" s="64"/>
      <c r="G85" s="64"/>
      <c r="H85" s="65"/>
      <c r="I85" s="65"/>
      <c r="J85" s="65"/>
      <c r="K85" s="65"/>
      <c r="L85" s="65"/>
      <c r="M85" s="65"/>
      <c r="N85" s="65"/>
      <c r="O85" s="65"/>
      <c r="P85" s="66">
        <f t="shared" si="1"/>
        <v>0</v>
      </c>
    </row>
    <row r="86" spans="1:16">
      <c r="A86" s="3">
        <v>84</v>
      </c>
      <c r="B86" s="3" t="s">
        <v>1</v>
      </c>
      <c r="C86" s="3"/>
      <c r="D86" s="64"/>
      <c r="E86" s="64"/>
      <c r="F86" s="64"/>
      <c r="G86" s="64"/>
      <c r="H86" s="65"/>
      <c r="I86" s="65"/>
      <c r="J86" s="65"/>
      <c r="K86" s="65"/>
      <c r="L86" s="65"/>
      <c r="M86" s="65"/>
      <c r="N86" s="65"/>
      <c r="O86" s="65"/>
      <c r="P86" s="66">
        <f t="shared" si="1"/>
        <v>0</v>
      </c>
    </row>
    <row r="87" spans="1:16">
      <c r="A87" s="3">
        <v>85</v>
      </c>
      <c r="B87" s="3" t="s">
        <v>1</v>
      </c>
      <c r="C87" s="3"/>
      <c r="D87" s="64"/>
      <c r="E87" s="64"/>
      <c r="F87" s="64"/>
      <c r="G87" s="64"/>
      <c r="H87" s="65"/>
      <c r="I87" s="65"/>
      <c r="J87" s="65"/>
      <c r="K87" s="65"/>
      <c r="L87" s="65"/>
      <c r="M87" s="65"/>
      <c r="N87" s="65"/>
      <c r="O87" s="65"/>
      <c r="P87" s="66">
        <f t="shared" si="1"/>
        <v>0</v>
      </c>
    </row>
    <row r="88" spans="1:16">
      <c r="A88" s="3">
        <v>86</v>
      </c>
      <c r="B88" s="3" t="s">
        <v>1</v>
      </c>
      <c r="C88" s="3"/>
      <c r="D88" s="64"/>
      <c r="E88" s="64"/>
      <c r="F88" s="64"/>
      <c r="G88" s="64"/>
      <c r="H88" s="65"/>
      <c r="I88" s="65"/>
      <c r="J88" s="65"/>
      <c r="K88" s="65"/>
      <c r="L88" s="65"/>
      <c r="M88" s="65"/>
      <c r="N88" s="65"/>
      <c r="O88" s="65"/>
      <c r="P88" s="66">
        <f t="shared" si="1"/>
        <v>0</v>
      </c>
    </row>
    <row r="89" spans="1:16">
      <c r="A89" s="3">
        <v>87</v>
      </c>
      <c r="B89" s="3" t="s">
        <v>1</v>
      </c>
      <c r="C89" s="3"/>
      <c r="D89" s="64"/>
      <c r="E89" s="64"/>
      <c r="F89" s="64"/>
      <c r="G89" s="64"/>
      <c r="H89" s="65"/>
      <c r="I89" s="65"/>
      <c r="J89" s="65"/>
      <c r="K89" s="65"/>
      <c r="L89" s="65"/>
      <c r="M89" s="65"/>
      <c r="N89" s="65"/>
      <c r="O89" s="65"/>
      <c r="P89" s="66">
        <f t="shared" si="1"/>
        <v>0</v>
      </c>
    </row>
    <row r="90" spans="1:16">
      <c r="A90" s="3">
        <v>88</v>
      </c>
      <c r="B90" s="3" t="s">
        <v>1</v>
      </c>
      <c r="C90" s="3"/>
      <c r="D90" s="64"/>
      <c r="E90" s="64"/>
      <c r="F90" s="64"/>
      <c r="G90" s="64"/>
      <c r="H90" s="65"/>
      <c r="I90" s="65"/>
      <c r="J90" s="65"/>
      <c r="K90" s="65"/>
      <c r="L90" s="65"/>
      <c r="M90" s="65"/>
      <c r="N90" s="65"/>
      <c r="O90" s="65"/>
      <c r="P90" s="66">
        <f t="shared" si="1"/>
        <v>0</v>
      </c>
    </row>
    <row r="91" spans="1:16">
      <c r="A91" s="3">
        <v>89</v>
      </c>
      <c r="B91" s="3" t="s">
        <v>1</v>
      </c>
      <c r="C91" s="3"/>
      <c r="D91" s="64"/>
      <c r="E91" s="64"/>
      <c r="F91" s="64"/>
      <c r="G91" s="64"/>
      <c r="H91" s="65"/>
      <c r="I91" s="65"/>
      <c r="J91" s="65"/>
      <c r="K91" s="65"/>
      <c r="L91" s="65"/>
      <c r="M91" s="65"/>
      <c r="N91" s="65"/>
      <c r="O91" s="65"/>
      <c r="P91" s="66">
        <f t="shared" si="1"/>
        <v>0</v>
      </c>
    </row>
    <row r="92" spans="1:16">
      <c r="A92" s="3">
        <v>90</v>
      </c>
      <c r="B92" s="3" t="s">
        <v>1</v>
      </c>
      <c r="C92" s="3"/>
      <c r="D92" s="64"/>
      <c r="E92" s="64"/>
      <c r="F92" s="64"/>
      <c r="G92" s="64"/>
      <c r="H92" s="65"/>
      <c r="I92" s="65"/>
      <c r="J92" s="65"/>
      <c r="K92" s="65"/>
      <c r="L92" s="65"/>
      <c r="M92" s="65"/>
      <c r="N92" s="65"/>
      <c r="O92" s="65"/>
      <c r="P92" s="66">
        <f t="shared" si="1"/>
        <v>0</v>
      </c>
    </row>
    <row r="93" spans="1:16">
      <c r="A93" s="3">
        <v>91</v>
      </c>
      <c r="B93" s="3" t="s">
        <v>1</v>
      </c>
      <c r="C93" s="3"/>
      <c r="D93" s="64"/>
      <c r="E93" s="64"/>
      <c r="F93" s="64"/>
      <c r="G93" s="64"/>
      <c r="H93" s="65"/>
      <c r="I93" s="65"/>
      <c r="J93" s="65"/>
      <c r="K93" s="65"/>
      <c r="L93" s="65"/>
      <c r="M93" s="65"/>
      <c r="N93" s="65"/>
      <c r="O93" s="65"/>
      <c r="P93" s="66">
        <f t="shared" si="1"/>
        <v>0</v>
      </c>
    </row>
    <row r="94" spans="1:16">
      <c r="A94" s="3">
        <v>92</v>
      </c>
      <c r="B94" s="3" t="s">
        <v>1</v>
      </c>
      <c r="C94" s="3"/>
      <c r="D94" s="64"/>
      <c r="E94" s="64"/>
      <c r="F94" s="64"/>
      <c r="G94" s="64"/>
      <c r="H94" s="65"/>
      <c r="I94" s="65"/>
      <c r="J94" s="65"/>
      <c r="K94" s="65"/>
      <c r="L94" s="65"/>
      <c r="M94" s="65"/>
      <c r="N94" s="65"/>
      <c r="O94" s="65"/>
      <c r="P94" s="66">
        <f t="shared" si="1"/>
        <v>0</v>
      </c>
    </row>
    <row r="95" spans="1:16">
      <c r="A95" s="3">
        <v>93</v>
      </c>
      <c r="B95" s="3" t="s">
        <v>1</v>
      </c>
      <c r="C95" s="3"/>
      <c r="D95" s="64"/>
      <c r="E95" s="64"/>
      <c r="F95" s="64"/>
      <c r="G95" s="64"/>
      <c r="H95" s="65"/>
      <c r="I95" s="65"/>
      <c r="J95" s="65"/>
      <c r="K95" s="65"/>
      <c r="L95" s="65"/>
      <c r="M95" s="65"/>
      <c r="N95" s="65"/>
      <c r="O95" s="65"/>
      <c r="P95" s="66">
        <f t="shared" si="1"/>
        <v>0</v>
      </c>
    </row>
    <row r="96" spans="1:16">
      <c r="A96" s="3">
        <v>94</v>
      </c>
      <c r="B96" s="3" t="s">
        <v>1</v>
      </c>
      <c r="C96" s="3"/>
      <c r="D96" s="64"/>
      <c r="E96" s="64"/>
      <c r="F96" s="64"/>
      <c r="G96" s="64"/>
      <c r="H96" s="65"/>
      <c r="I96" s="65"/>
      <c r="J96" s="65"/>
      <c r="K96" s="65"/>
      <c r="L96" s="65"/>
      <c r="M96" s="65"/>
      <c r="N96" s="65"/>
      <c r="O96" s="65"/>
      <c r="P96" s="66">
        <f t="shared" si="1"/>
        <v>0</v>
      </c>
    </row>
    <row r="97" spans="1:16">
      <c r="A97" s="3">
        <v>95</v>
      </c>
      <c r="B97" s="3" t="s">
        <v>1</v>
      </c>
      <c r="C97" s="3"/>
      <c r="D97" s="64"/>
      <c r="E97" s="64"/>
      <c r="F97" s="64"/>
      <c r="G97" s="64"/>
      <c r="H97" s="65"/>
      <c r="I97" s="65"/>
      <c r="J97" s="65"/>
      <c r="K97" s="65"/>
      <c r="L97" s="65"/>
      <c r="M97" s="65"/>
      <c r="N97" s="65"/>
      <c r="O97" s="65"/>
      <c r="P97" s="66">
        <f t="shared" si="1"/>
        <v>0</v>
      </c>
    </row>
    <row r="98" spans="1:16"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6"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6"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6"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6"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6"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6"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6"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6"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6"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6"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6"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6"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6"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6"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="59" customFormat="1"/>
    <row r="114" s="59" customFormat="1"/>
    <row r="115" s="59" customFormat="1"/>
    <row r="116" s="59" customFormat="1"/>
    <row r="117" s="59" customFormat="1"/>
    <row r="118" s="59" customFormat="1"/>
    <row r="119" s="59" customFormat="1"/>
    <row r="120" s="59" customFormat="1"/>
    <row r="121" s="59" customFormat="1"/>
    <row r="122" s="59" customFormat="1"/>
    <row r="123" s="59" customFormat="1"/>
    <row r="124" s="59" customFormat="1"/>
    <row r="125" s="59" customFormat="1"/>
    <row r="126" s="59" customFormat="1"/>
    <row r="127" s="59" customFormat="1"/>
    <row r="128" s="59" customFormat="1"/>
    <row r="129" s="59" customFormat="1"/>
    <row r="130" s="59" customFormat="1"/>
    <row r="131" s="59" customFormat="1"/>
    <row r="132" s="59" customFormat="1"/>
    <row r="133" s="59" customFormat="1"/>
    <row r="134" s="59" customFormat="1"/>
    <row r="135" s="59" customFormat="1"/>
    <row r="136" s="59" customFormat="1"/>
    <row r="137" s="59" customFormat="1"/>
    <row r="138" s="59" customFormat="1"/>
    <row r="139" s="59" customFormat="1"/>
    <row r="140" s="59" customFormat="1"/>
    <row r="141" s="59" customFormat="1"/>
    <row r="142" s="59" customFormat="1"/>
    <row r="143" s="59" customFormat="1"/>
    <row r="144" s="59" customFormat="1"/>
    <row r="145" s="59" customFormat="1"/>
    <row r="146" s="59" customFormat="1"/>
    <row r="147" s="59" customFormat="1"/>
    <row r="148" s="59" customFormat="1"/>
    <row r="149" s="59" customFormat="1"/>
    <row r="150" s="59" customFormat="1"/>
    <row r="151" s="59" customFormat="1"/>
    <row r="152" s="59" customFormat="1"/>
    <row r="153" s="59" customFormat="1"/>
    <row r="154" s="59" customFormat="1"/>
    <row r="155" s="59" customFormat="1"/>
    <row r="156" s="59" customFormat="1"/>
    <row r="157" s="59" customFormat="1"/>
    <row r="158" s="59" customFormat="1"/>
    <row r="159" s="59" customFormat="1"/>
    <row r="160" s="59" customFormat="1"/>
    <row r="161" s="59" customFormat="1"/>
    <row r="162" s="59" customFormat="1"/>
    <row r="163" s="59" customFormat="1"/>
    <row r="164" s="59" customFormat="1"/>
    <row r="165" s="59" customFormat="1"/>
    <row r="166" s="59" customFormat="1"/>
    <row r="167" s="59" customFormat="1"/>
    <row r="168" s="59" customFormat="1"/>
    <row r="169" s="59" customFormat="1"/>
    <row r="170" s="59" customFormat="1"/>
    <row r="171" s="59" customFormat="1"/>
    <row r="172" s="59" customFormat="1"/>
    <row r="173" s="59" customFormat="1"/>
    <row r="174" s="59" customFormat="1"/>
    <row r="175" s="59" customFormat="1"/>
    <row r="176" s="59" customFormat="1"/>
    <row r="177" s="59" customFormat="1"/>
    <row r="178" s="59" customFormat="1"/>
    <row r="179" s="59" customFormat="1"/>
    <row r="180" s="59" customFormat="1"/>
    <row r="181" s="59" customFormat="1"/>
    <row r="182" s="59" customFormat="1"/>
    <row r="183" s="59" customFormat="1"/>
    <row r="184" s="59" customFormat="1"/>
    <row r="185" s="59" customFormat="1"/>
    <row r="186" s="59" customFormat="1"/>
    <row r="187" s="59" customFormat="1"/>
    <row r="188" s="59" customFormat="1"/>
    <row r="189" s="59" customFormat="1"/>
    <row r="190" s="59" customFormat="1"/>
    <row r="191" s="59" customFormat="1"/>
    <row r="192" s="59" customFormat="1"/>
    <row r="193" s="59" customFormat="1"/>
    <row r="194" s="59" customFormat="1"/>
    <row r="195" s="59" customFormat="1"/>
    <row r="196" s="59" customFormat="1"/>
    <row r="197" s="59" customFormat="1"/>
    <row r="198" s="59" customFormat="1"/>
    <row r="199" s="59" customFormat="1"/>
    <row r="200" s="59" customFormat="1"/>
    <row r="201" s="59" customFormat="1"/>
    <row r="202" s="59" customFormat="1"/>
    <row r="203" s="59" customFormat="1"/>
    <row r="204" s="59" customFormat="1"/>
    <row r="205" s="59" customFormat="1"/>
    <row r="206" s="59" customFormat="1"/>
    <row r="207" s="59" customFormat="1"/>
    <row r="208" s="59" customFormat="1"/>
    <row r="209" s="59" customFormat="1"/>
    <row r="210" s="59" customFormat="1"/>
    <row r="211" s="59" customFormat="1"/>
    <row r="212" s="59" customFormat="1"/>
    <row r="213" s="59" customFormat="1"/>
    <row r="214" s="59" customFormat="1"/>
    <row r="215" s="59" customFormat="1"/>
    <row r="216" s="59" customFormat="1"/>
    <row r="217" s="59" customFormat="1"/>
    <row r="218" s="59" customFormat="1"/>
    <row r="219" s="59" customFormat="1"/>
    <row r="220" s="59" customFormat="1"/>
    <row r="221" s="59" customFormat="1"/>
    <row r="222" s="59" customFormat="1"/>
    <row r="223" s="59" customFormat="1"/>
    <row r="224" s="59" customFormat="1"/>
    <row r="225" s="59" customFormat="1"/>
    <row r="226" s="59" customFormat="1"/>
    <row r="227" s="59" customFormat="1"/>
    <row r="228" s="59" customFormat="1"/>
    <row r="229" s="59" customFormat="1"/>
    <row r="230" s="59" customFormat="1"/>
    <row r="231" s="59" customFormat="1"/>
    <row r="232" s="59" customFormat="1"/>
    <row r="233" s="59" customFormat="1"/>
    <row r="234" s="59" customFormat="1"/>
    <row r="235" s="59" customFormat="1"/>
    <row r="236" s="59" customFormat="1"/>
    <row r="237" s="59" customFormat="1"/>
    <row r="238" s="59" customFormat="1"/>
    <row r="239" s="59" customFormat="1"/>
    <row r="240" s="59" customFormat="1"/>
    <row r="241" s="59" customFormat="1"/>
    <row r="242" s="59" customFormat="1"/>
    <row r="243" s="59" customFormat="1"/>
    <row r="244" s="59" customFormat="1"/>
    <row r="245" s="59" customFormat="1"/>
    <row r="246" s="59" customFormat="1"/>
    <row r="247" s="59" customFormat="1"/>
    <row r="248" s="59" customFormat="1"/>
    <row r="249" s="59" customFormat="1"/>
    <row r="250" s="59" customFormat="1"/>
    <row r="251" s="59" customFormat="1"/>
    <row r="252" s="59" customFormat="1"/>
    <row r="253" s="59" customFormat="1"/>
    <row r="254" s="59" customFormat="1"/>
    <row r="255" s="59" customFormat="1"/>
    <row r="256" s="59" customFormat="1"/>
    <row r="257" s="59" customFormat="1"/>
    <row r="258" s="59" customFormat="1"/>
    <row r="259" s="59" customFormat="1"/>
    <row r="260" s="59" customFormat="1"/>
    <row r="261" s="59" customFormat="1"/>
    <row r="262" s="59" customFormat="1"/>
    <row r="263" s="59" customFormat="1"/>
    <row r="264" s="59" customFormat="1"/>
    <row r="265" s="59" customFormat="1"/>
    <row r="266" s="59" customFormat="1"/>
    <row r="267" s="59" customFormat="1"/>
    <row r="268" s="59" customFormat="1"/>
    <row r="269" s="59" customFormat="1"/>
    <row r="270" s="59" customFormat="1"/>
    <row r="271" s="59" customFormat="1"/>
    <row r="272" s="59" customFormat="1"/>
    <row r="273" s="59" customFormat="1"/>
    <row r="274" s="59" customFormat="1"/>
    <row r="275" s="59" customFormat="1"/>
    <row r="276" s="59" customFormat="1"/>
    <row r="277" s="59" customFormat="1"/>
    <row r="278" s="59" customFormat="1"/>
    <row r="279" s="59" customFormat="1"/>
    <row r="280" s="59" customFormat="1"/>
    <row r="281" s="59" customFormat="1"/>
    <row r="282" s="59" customFormat="1"/>
    <row r="283" s="59" customFormat="1"/>
    <row r="284" s="59" customFormat="1"/>
    <row r="285" s="59" customFormat="1"/>
    <row r="286" s="59" customFormat="1"/>
    <row r="287" s="59" customFormat="1"/>
    <row r="288" s="59" customFormat="1"/>
    <row r="289" s="59" customFormat="1"/>
    <row r="290" s="59" customFormat="1"/>
    <row r="291" s="59" customFormat="1"/>
    <row r="292" s="59" customFormat="1"/>
    <row r="293" s="59" customFormat="1"/>
    <row r="294" s="59" customFormat="1"/>
    <row r="295" s="59" customFormat="1"/>
    <row r="296" s="59" customFormat="1"/>
    <row r="297" s="59" customFormat="1"/>
    <row r="298" s="59" customFormat="1"/>
    <row r="299" s="59" customFormat="1"/>
    <row r="300" s="59" customFormat="1"/>
    <row r="301" s="59" customFormat="1"/>
    <row r="302" s="59" customFormat="1"/>
    <row r="303" s="59" customFormat="1"/>
    <row r="304" s="59" customFormat="1"/>
    <row r="305" s="59" customFormat="1"/>
    <row r="306" s="59" customFormat="1"/>
    <row r="307" s="59" customFormat="1"/>
    <row r="308" s="59" customFormat="1"/>
    <row r="309" s="59" customFormat="1"/>
    <row r="310" s="59" customFormat="1"/>
    <row r="311" s="59" customFormat="1"/>
    <row r="312" s="59" customFormat="1"/>
    <row r="313" s="59" customFormat="1"/>
    <row r="314" s="59" customFormat="1"/>
    <row r="315" s="59" customFormat="1"/>
    <row r="316" s="59" customFormat="1"/>
    <row r="317" s="59" customFormat="1"/>
    <row r="318" s="59" customFormat="1"/>
    <row r="319" s="59" customFormat="1"/>
    <row r="320" s="59" customFormat="1"/>
    <row r="321" s="59" customFormat="1"/>
    <row r="322" s="59" customFormat="1"/>
    <row r="323" s="59" customFormat="1"/>
    <row r="324" s="59" customFormat="1"/>
    <row r="325" s="59" customFormat="1"/>
    <row r="326" s="59" customFormat="1"/>
    <row r="327" s="59" customFormat="1"/>
    <row r="328" s="59" customFormat="1"/>
    <row r="329" s="59" customFormat="1"/>
    <row r="330" s="59" customFormat="1"/>
    <row r="331" s="59" customFormat="1"/>
    <row r="332" s="59" customFormat="1"/>
    <row r="333" s="59" customFormat="1"/>
    <row r="334" s="59" customFormat="1"/>
    <row r="335" s="59" customFormat="1"/>
    <row r="336" s="59" customFormat="1"/>
    <row r="337" s="59" customFormat="1"/>
    <row r="338" s="59" customFormat="1"/>
    <row r="339" s="59" customFormat="1"/>
    <row r="340" s="59" customFormat="1"/>
    <row r="341" s="59" customFormat="1"/>
    <row r="342" s="59" customFormat="1"/>
    <row r="343" s="59" customFormat="1"/>
    <row r="344" s="59" customFormat="1"/>
    <row r="345" s="59" customFormat="1"/>
    <row r="346" s="59" customFormat="1"/>
    <row r="347" s="59" customFormat="1"/>
    <row r="348" s="59" customFormat="1"/>
    <row r="349" s="59" customFormat="1"/>
    <row r="350" s="59" customFormat="1"/>
    <row r="351" s="59" customFormat="1"/>
    <row r="352" s="59" customFormat="1"/>
    <row r="353" s="59" customForma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9BB9-E1F5-44F1-B05F-95AD022C1FB1}">
  <dimension ref="A1:P353"/>
  <sheetViews>
    <sheetView zoomScale="85" zoomScaleNormal="85" workbookViewId="0">
      <selection activeCell="C3" sqref="C3:C97"/>
    </sheetView>
  </sheetViews>
  <sheetFormatPr defaultRowHeight="16"/>
  <cols>
    <col min="1" max="1" width="7.6328125" style="43" customWidth="1"/>
    <col min="2" max="2" width="9.36328125" style="43" customWidth="1"/>
    <col min="3" max="3" width="15.1796875" style="43" customWidth="1"/>
    <col min="4" max="15" width="8.7265625" style="43"/>
    <col min="16" max="16" width="9.1796875" style="59" bestFit="1" customWidth="1"/>
    <col min="17" max="16384" width="8.7265625" style="43"/>
  </cols>
  <sheetData>
    <row r="1" spans="1:16">
      <c r="A1" s="42" t="s">
        <v>303</v>
      </c>
    </row>
    <row r="2" spans="1:16" ht="24.5" customHeight="1">
      <c r="A2" s="55" t="s">
        <v>45</v>
      </c>
      <c r="B2" s="60" t="s">
        <v>5</v>
      </c>
      <c r="C2" s="55" t="s">
        <v>46</v>
      </c>
      <c r="D2" s="61" t="s">
        <v>42</v>
      </c>
      <c r="E2" s="62" t="s">
        <v>43</v>
      </c>
      <c r="F2" s="62" t="s">
        <v>47</v>
      </c>
      <c r="G2" s="62" t="s">
        <v>48</v>
      </c>
      <c r="H2" s="62" t="s">
        <v>144</v>
      </c>
      <c r="I2" s="62" t="s">
        <v>145</v>
      </c>
      <c r="J2" s="62" t="s">
        <v>146</v>
      </c>
      <c r="K2" s="62" t="s">
        <v>147</v>
      </c>
      <c r="L2" s="62" t="s">
        <v>148</v>
      </c>
      <c r="M2" s="62" t="s">
        <v>149</v>
      </c>
      <c r="N2" s="62" t="s">
        <v>150</v>
      </c>
      <c r="O2" s="62" t="s">
        <v>151</v>
      </c>
      <c r="P2" s="63" t="s">
        <v>0</v>
      </c>
    </row>
    <row r="3" spans="1:16" ht="19" customHeight="1">
      <c r="A3" s="3">
        <v>1</v>
      </c>
      <c r="B3" s="3" t="s">
        <v>3</v>
      </c>
      <c r="C3" s="3"/>
      <c r="D3" s="64"/>
      <c r="E3" s="64"/>
      <c r="F3" s="64"/>
      <c r="G3" s="64"/>
      <c r="H3" s="65"/>
      <c r="I3" s="65"/>
      <c r="J3" s="65"/>
      <c r="K3" s="65"/>
      <c r="L3" s="65"/>
      <c r="M3" s="65"/>
      <c r="N3" s="65"/>
      <c r="O3" s="65"/>
      <c r="P3" s="66">
        <f>SUM(D3:O3)</f>
        <v>0</v>
      </c>
    </row>
    <row r="4" spans="1:16">
      <c r="A4" s="3">
        <v>2</v>
      </c>
      <c r="B4" s="3" t="s">
        <v>3</v>
      </c>
      <c r="C4" s="3"/>
      <c r="D4" s="64"/>
      <c r="E4" s="64"/>
      <c r="F4" s="64"/>
      <c r="G4" s="64"/>
      <c r="H4" s="65"/>
      <c r="I4" s="65"/>
      <c r="J4" s="65"/>
      <c r="K4" s="65"/>
      <c r="L4" s="65"/>
      <c r="M4" s="65"/>
      <c r="N4" s="65"/>
      <c r="O4" s="65"/>
      <c r="P4" s="66">
        <f t="shared" ref="P4:P67" si="0">SUM(D4:O4)</f>
        <v>0</v>
      </c>
    </row>
    <row r="5" spans="1:16">
      <c r="A5" s="3">
        <v>3</v>
      </c>
      <c r="B5" s="3" t="s">
        <v>3</v>
      </c>
      <c r="C5" s="3"/>
      <c r="D5" s="64"/>
      <c r="E5" s="64"/>
      <c r="F5" s="64"/>
      <c r="G5" s="64"/>
      <c r="H5" s="65"/>
      <c r="I5" s="65"/>
      <c r="J5" s="65"/>
      <c r="K5" s="65"/>
      <c r="L5" s="65"/>
      <c r="M5" s="65"/>
      <c r="N5" s="65"/>
      <c r="O5" s="65"/>
      <c r="P5" s="66">
        <f t="shared" si="0"/>
        <v>0</v>
      </c>
    </row>
    <row r="6" spans="1:16">
      <c r="A6" s="3">
        <v>4</v>
      </c>
      <c r="B6" s="3" t="s">
        <v>3</v>
      </c>
      <c r="C6" s="3"/>
      <c r="D6" s="64"/>
      <c r="E6" s="64"/>
      <c r="F6" s="64"/>
      <c r="G6" s="64"/>
      <c r="H6" s="65"/>
      <c r="I6" s="65"/>
      <c r="J6" s="65"/>
      <c r="K6" s="65"/>
      <c r="L6" s="65"/>
      <c r="M6" s="65"/>
      <c r="N6" s="65"/>
      <c r="O6" s="65"/>
      <c r="P6" s="66">
        <f t="shared" si="0"/>
        <v>0</v>
      </c>
    </row>
    <row r="7" spans="1:16">
      <c r="A7" s="3">
        <v>5</v>
      </c>
      <c r="B7" s="3" t="s">
        <v>3</v>
      </c>
      <c r="C7" s="3"/>
      <c r="D7" s="64"/>
      <c r="E7" s="64"/>
      <c r="F7" s="64"/>
      <c r="G7" s="64"/>
      <c r="H7" s="65"/>
      <c r="I7" s="65"/>
      <c r="J7" s="65"/>
      <c r="K7" s="65"/>
      <c r="L7" s="65"/>
      <c r="M7" s="65"/>
      <c r="N7" s="65"/>
      <c r="O7" s="65"/>
      <c r="P7" s="66">
        <f t="shared" si="0"/>
        <v>0</v>
      </c>
    </row>
    <row r="8" spans="1:16">
      <c r="A8" s="3">
        <v>6</v>
      </c>
      <c r="B8" s="3" t="s">
        <v>3</v>
      </c>
      <c r="C8" s="3"/>
      <c r="D8" s="64"/>
      <c r="E8" s="64"/>
      <c r="F8" s="64"/>
      <c r="G8" s="64"/>
      <c r="H8" s="65"/>
      <c r="I8" s="65"/>
      <c r="J8" s="65"/>
      <c r="K8" s="65"/>
      <c r="L8" s="65"/>
      <c r="M8" s="65"/>
      <c r="N8" s="65"/>
      <c r="O8" s="65"/>
      <c r="P8" s="66">
        <f t="shared" si="0"/>
        <v>0</v>
      </c>
    </row>
    <row r="9" spans="1:16">
      <c r="A9" s="3">
        <v>7</v>
      </c>
      <c r="B9" s="3" t="s">
        <v>3</v>
      </c>
      <c r="C9" s="3"/>
      <c r="D9" s="64"/>
      <c r="E9" s="64"/>
      <c r="F9" s="64"/>
      <c r="G9" s="64"/>
      <c r="H9" s="65"/>
      <c r="I9" s="65"/>
      <c r="J9" s="65"/>
      <c r="K9" s="65"/>
      <c r="L9" s="65"/>
      <c r="M9" s="65"/>
      <c r="N9" s="65"/>
      <c r="O9" s="65"/>
      <c r="P9" s="66">
        <f t="shared" si="0"/>
        <v>0</v>
      </c>
    </row>
    <row r="10" spans="1:16">
      <c r="A10" s="3">
        <v>8</v>
      </c>
      <c r="B10" s="3" t="s">
        <v>3</v>
      </c>
      <c r="C10" s="3"/>
      <c r="D10" s="64"/>
      <c r="E10" s="64"/>
      <c r="F10" s="64"/>
      <c r="G10" s="64"/>
      <c r="H10" s="65"/>
      <c r="I10" s="65"/>
      <c r="J10" s="65"/>
      <c r="K10" s="65"/>
      <c r="L10" s="65"/>
      <c r="M10" s="65"/>
      <c r="N10" s="65"/>
      <c r="O10" s="65"/>
      <c r="P10" s="66">
        <f t="shared" si="0"/>
        <v>0</v>
      </c>
    </row>
    <row r="11" spans="1:16">
      <c r="A11" s="3">
        <v>9</v>
      </c>
      <c r="B11" s="3" t="s">
        <v>3</v>
      </c>
      <c r="C11" s="3"/>
      <c r="D11" s="64"/>
      <c r="E11" s="64"/>
      <c r="F11" s="64"/>
      <c r="G11" s="64"/>
      <c r="H11" s="65"/>
      <c r="I11" s="65"/>
      <c r="J11" s="65"/>
      <c r="K11" s="65"/>
      <c r="L11" s="65"/>
      <c r="M11" s="65"/>
      <c r="N11" s="65"/>
      <c r="O11" s="65"/>
      <c r="P11" s="66">
        <f t="shared" si="0"/>
        <v>0</v>
      </c>
    </row>
    <row r="12" spans="1:16">
      <c r="A12" s="3">
        <v>10</v>
      </c>
      <c r="B12" s="3" t="s">
        <v>3</v>
      </c>
      <c r="C12" s="3"/>
      <c r="D12" s="64"/>
      <c r="E12" s="64"/>
      <c r="F12" s="64"/>
      <c r="G12" s="64"/>
      <c r="H12" s="65"/>
      <c r="I12" s="65"/>
      <c r="J12" s="65"/>
      <c r="K12" s="65"/>
      <c r="L12" s="65"/>
      <c r="M12" s="65"/>
      <c r="N12" s="65"/>
      <c r="O12" s="65"/>
      <c r="P12" s="66">
        <f t="shared" si="0"/>
        <v>0</v>
      </c>
    </row>
    <row r="13" spans="1:16">
      <c r="A13" s="3">
        <v>11</v>
      </c>
      <c r="B13" s="3" t="s">
        <v>3</v>
      </c>
      <c r="C13" s="3"/>
      <c r="D13" s="64"/>
      <c r="E13" s="64"/>
      <c r="F13" s="64"/>
      <c r="G13" s="64"/>
      <c r="H13" s="65"/>
      <c r="I13" s="65"/>
      <c r="J13" s="65"/>
      <c r="K13" s="65"/>
      <c r="L13" s="65"/>
      <c r="M13" s="65"/>
      <c r="N13" s="65"/>
      <c r="O13" s="65"/>
      <c r="P13" s="66">
        <f t="shared" si="0"/>
        <v>0</v>
      </c>
    </row>
    <row r="14" spans="1:16">
      <c r="A14" s="3">
        <v>12</v>
      </c>
      <c r="B14" s="3" t="s">
        <v>3</v>
      </c>
      <c r="C14" s="3"/>
      <c r="D14" s="64"/>
      <c r="E14" s="64"/>
      <c r="F14" s="64"/>
      <c r="G14" s="64"/>
      <c r="H14" s="65"/>
      <c r="I14" s="65"/>
      <c r="J14" s="65"/>
      <c r="K14" s="65"/>
      <c r="L14" s="65"/>
      <c r="M14" s="65"/>
      <c r="N14" s="65"/>
      <c r="O14" s="65"/>
      <c r="P14" s="66">
        <f t="shared" si="0"/>
        <v>0</v>
      </c>
    </row>
    <row r="15" spans="1:16">
      <c r="A15" s="3">
        <v>13</v>
      </c>
      <c r="B15" s="3" t="s">
        <v>3</v>
      </c>
      <c r="C15" s="3"/>
      <c r="D15" s="64"/>
      <c r="E15" s="64"/>
      <c r="F15" s="64"/>
      <c r="G15" s="64"/>
      <c r="H15" s="65"/>
      <c r="I15" s="65"/>
      <c r="J15" s="65"/>
      <c r="K15" s="65"/>
      <c r="L15" s="65"/>
      <c r="M15" s="65"/>
      <c r="N15" s="65"/>
      <c r="O15" s="65"/>
      <c r="P15" s="66">
        <f t="shared" si="0"/>
        <v>0</v>
      </c>
    </row>
    <row r="16" spans="1:16">
      <c r="A16" s="3">
        <v>14</v>
      </c>
      <c r="B16" s="3" t="s">
        <v>3</v>
      </c>
      <c r="C16" s="3"/>
      <c r="D16" s="64"/>
      <c r="E16" s="64"/>
      <c r="F16" s="64"/>
      <c r="G16" s="64"/>
      <c r="H16" s="65"/>
      <c r="I16" s="65"/>
      <c r="J16" s="65"/>
      <c r="K16" s="65"/>
      <c r="L16" s="65"/>
      <c r="M16" s="65"/>
      <c r="N16" s="65"/>
      <c r="O16" s="65"/>
      <c r="P16" s="66">
        <f t="shared" si="0"/>
        <v>0</v>
      </c>
    </row>
    <row r="17" spans="1:16">
      <c r="A17" s="3">
        <v>15</v>
      </c>
      <c r="B17" s="3" t="s">
        <v>3</v>
      </c>
      <c r="C17" s="3"/>
      <c r="D17" s="64"/>
      <c r="E17" s="64"/>
      <c r="F17" s="64"/>
      <c r="G17" s="64"/>
      <c r="H17" s="65"/>
      <c r="I17" s="65"/>
      <c r="J17" s="65"/>
      <c r="K17" s="65"/>
      <c r="L17" s="65"/>
      <c r="M17" s="65"/>
      <c r="N17" s="65"/>
      <c r="O17" s="65"/>
      <c r="P17" s="66">
        <f t="shared" si="0"/>
        <v>0</v>
      </c>
    </row>
    <row r="18" spans="1:16">
      <c r="A18" s="3">
        <v>16</v>
      </c>
      <c r="B18" s="3" t="s">
        <v>3</v>
      </c>
      <c r="C18" s="3"/>
      <c r="D18" s="64"/>
      <c r="E18" s="64"/>
      <c r="F18" s="64"/>
      <c r="G18" s="64"/>
      <c r="H18" s="65"/>
      <c r="I18" s="65"/>
      <c r="J18" s="65"/>
      <c r="K18" s="65"/>
      <c r="L18" s="65"/>
      <c r="M18" s="65"/>
      <c r="N18" s="65"/>
      <c r="O18" s="65"/>
      <c r="P18" s="66">
        <f t="shared" si="0"/>
        <v>0</v>
      </c>
    </row>
    <row r="19" spans="1:16">
      <c r="A19" s="3">
        <v>17</v>
      </c>
      <c r="B19" s="3" t="s">
        <v>3</v>
      </c>
      <c r="C19" s="3"/>
      <c r="D19" s="64"/>
      <c r="E19" s="64"/>
      <c r="F19" s="64"/>
      <c r="G19" s="64"/>
      <c r="H19" s="65"/>
      <c r="I19" s="65"/>
      <c r="J19" s="65"/>
      <c r="K19" s="65"/>
      <c r="L19" s="65"/>
      <c r="M19" s="65"/>
      <c r="N19" s="65"/>
      <c r="O19" s="65"/>
      <c r="P19" s="66">
        <f t="shared" si="0"/>
        <v>0</v>
      </c>
    </row>
    <row r="20" spans="1:16">
      <c r="A20" s="3">
        <v>18</v>
      </c>
      <c r="B20" s="3" t="s">
        <v>3</v>
      </c>
      <c r="C20" s="3"/>
      <c r="D20" s="64"/>
      <c r="E20" s="64"/>
      <c r="F20" s="64"/>
      <c r="G20" s="64"/>
      <c r="H20" s="65"/>
      <c r="I20" s="65"/>
      <c r="J20" s="65"/>
      <c r="K20" s="65"/>
      <c r="L20" s="65"/>
      <c r="M20" s="65"/>
      <c r="N20" s="65"/>
      <c r="O20" s="65"/>
      <c r="P20" s="66">
        <f t="shared" si="0"/>
        <v>0</v>
      </c>
    </row>
    <row r="21" spans="1:16">
      <c r="A21" s="3">
        <v>19</v>
      </c>
      <c r="B21" s="3" t="s">
        <v>3</v>
      </c>
      <c r="C21" s="3"/>
      <c r="D21" s="64"/>
      <c r="E21" s="64"/>
      <c r="F21" s="64"/>
      <c r="G21" s="64"/>
      <c r="H21" s="65"/>
      <c r="I21" s="65"/>
      <c r="J21" s="65"/>
      <c r="K21" s="65"/>
      <c r="L21" s="65"/>
      <c r="M21" s="65"/>
      <c r="N21" s="65"/>
      <c r="O21" s="65"/>
      <c r="P21" s="66">
        <f t="shared" si="0"/>
        <v>0</v>
      </c>
    </row>
    <row r="22" spans="1:16">
      <c r="A22" s="3">
        <v>20</v>
      </c>
      <c r="B22" s="3" t="s">
        <v>3</v>
      </c>
      <c r="C22" s="3"/>
      <c r="D22" s="64"/>
      <c r="E22" s="64"/>
      <c r="F22" s="64"/>
      <c r="G22" s="64"/>
      <c r="H22" s="65"/>
      <c r="I22" s="65"/>
      <c r="J22" s="65"/>
      <c r="K22" s="65"/>
      <c r="L22" s="65"/>
      <c r="M22" s="65"/>
      <c r="N22" s="65"/>
      <c r="O22" s="65"/>
      <c r="P22" s="66">
        <f t="shared" si="0"/>
        <v>0</v>
      </c>
    </row>
    <row r="23" spans="1:16">
      <c r="A23" s="3">
        <v>21</v>
      </c>
      <c r="B23" s="3" t="s">
        <v>3</v>
      </c>
      <c r="C23" s="3"/>
      <c r="D23" s="64"/>
      <c r="E23" s="64"/>
      <c r="F23" s="64"/>
      <c r="G23" s="64"/>
      <c r="H23" s="65"/>
      <c r="I23" s="65"/>
      <c r="J23" s="65"/>
      <c r="K23" s="65"/>
      <c r="L23" s="65"/>
      <c r="M23" s="65"/>
      <c r="N23" s="65"/>
      <c r="O23" s="65"/>
      <c r="P23" s="66">
        <f t="shared" si="0"/>
        <v>0</v>
      </c>
    </row>
    <row r="24" spans="1:16">
      <c r="A24" s="3">
        <v>22</v>
      </c>
      <c r="B24" s="3" t="s">
        <v>3</v>
      </c>
      <c r="C24" s="3"/>
      <c r="D24" s="64"/>
      <c r="E24" s="64"/>
      <c r="F24" s="64"/>
      <c r="G24" s="64"/>
      <c r="H24" s="65"/>
      <c r="I24" s="65"/>
      <c r="J24" s="65"/>
      <c r="K24" s="65"/>
      <c r="L24" s="65"/>
      <c r="M24" s="65"/>
      <c r="N24" s="65"/>
      <c r="O24" s="65"/>
      <c r="P24" s="66">
        <f t="shared" si="0"/>
        <v>0</v>
      </c>
    </row>
    <row r="25" spans="1:16">
      <c r="A25" s="3">
        <v>23</v>
      </c>
      <c r="B25" s="3" t="s">
        <v>3</v>
      </c>
      <c r="C25" s="3"/>
      <c r="D25" s="64"/>
      <c r="E25" s="64"/>
      <c r="F25" s="64"/>
      <c r="G25" s="64"/>
      <c r="H25" s="65"/>
      <c r="I25" s="65"/>
      <c r="J25" s="65"/>
      <c r="K25" s="65"/>
      <c r="L25" s="65"/>
      <c r="M25" s="65"/>
      <c r="N25" s="65"/>
      <c r="O25" s="65"/>
      <c r="P25" s="66">
        <f t="shared" si="0"/>
        <v>0</v>
      </c>
    </row>
    <row r="26" spans="1:16">
      <c r="A26" s="3">
        <v>24</v>
      </c>
      <c r="B26" s="3" t="s">
        <v>3</v>
      </c>
      <c r="C26" s="3"/>
      <c r="D26" s="64"/>
      <c r="E26" s="64"/>
      <c r="F26" s="64"/>
      <c r="G26" s="64"/>
      <c r="H26" s="65"/>
      <c r="I26" s="65"/>
      <c r="J26" s="65"/>
      <c r="K26" s="65"/>
      <c r="L26" s="65"/>
      <c r="M26" s="65"/>
      <c r="N26" s="65"/>
      <c r="O26" s="65"/>
      <c r="P26" s="66">
        <f t="shared" si="0"/>
        <v>0</v>
      </c>
    </row>
    <row r="27" spans="1:16">
      <c r="A27" s="3">
        <v>25</v>
      </c>
      <c r="B27" s="3" t="s">
        <v>3</v>
      </c>
      <c r="C27" s="3"/>
      <c r="D27" s="64"/>
      <c r="E27" s="64"/>
      <c r="F27" s="64"/>
      <c r="G27" s="64"/>
      <c r="H27" s="65"/>
      <c r="I27" s="65"/>
      <c r="J27" s="65"/>
      <c r="K27" s="65"/>
      <c r="L27" s="65"/>
      <c r="M27" s="65"/>
      <c r="N27" s="65"/>
      <c r="O27" s="65"/>
      <c r="P27" s="66">
        <f t="shared" si="0"/>
        <v>0</v>
      </c>
    </row>
    <row r="28" spans="1:16">
      <c r="A28" s="3">
        <v>26</v>
      </c>
      <c r="B28" s="3" t="s">
        <v>3</v>
      </c>
      <c r="C28" s="3"/>
      <c r="D28" s="64"/>
      <c r="E28" s="64"/>
      <c r="F28" s="64"/>
      <c r="G28" s="64"/>
      <c r="H28" s="65"/>
      <c r="I28" s="65"/>
      <c r="J28" s="65"/>
      <c r="K28" s="65"/>
      <c r="L28" s="65"/>
      <c r="M28" s="65"/>
      <c r="N28" s="65"/>
      <c r="O28" s="65"/>
      <c r="P28" s="66">
        <f t="shared" si="0"/>
        <v>0</v>
      </c>
    </row>
    <row r="29" spans="1:16">
      <c r="A29" s="3">
        <v>27</v>
      </c>
      <c r="B29" s="3" t="s">
        <v>3</v>
      </c>
      <c r="C29" s="3"/>
      <c r="D29" s="64"/>
      <c r="E29" s="64"/>
      <c r="F29" s="64"/>
      <c r="G29" s="64"/>
      <c r="H29" s="65"/>
      <c r="I29" s="65"/>
      <c r="J29" s="65"/>
      <c r="K29" s="65"/>
      <c r="L29" s="65"/>
      <c r="M29" s="65"/>
      <c r="N29" s="65"/>
      <c r="O29" s="65"/>
      <c r="P29" s="66">
        <f t="shared" si="0"/>
        <v>0</v>
      </c>
    </row>
    <row r="30" spans="1:16">
      <c r="A30" s="3">
        <v>28</v>
      </c>
      <c r="B30" s="3" t="s">
        <v>3</v>
      </c>
      <c r="C30" s="3"/>
      <c r="D30" s="64"/>
      <c r="E30" s="64"/>
      <c r="F30" s="64"/>
      <c r="G30" s="64"/>
      <c r="H30" s="65"/>
      <c r="I30" s="65"/>
      <c r="J30" s="65"/>
      <c r="K30" s="65"/>
      <c r="L30" s="65"/>
      <c r="M30" s="65"/>
      <c r="N30" s="65"/>
      <c r="O30" s="65"/>
      <c r="P30" s="66">
        <f t="shared" si="0"/>
        <v>0</v>
      </c>
    </row>
    <row r="31" spans="1:16">
      <c r="A31" s="3">
        <v>29</v>
      </c>
      <c r="B31" s="3" t="s">
        <v>3</v>
      </c>
      <c r="C31" s="3"/>
      <c r="D31" s="64"/>
      <c r="E31" s="64"/>
      <c r="F31" s="64"/>
      <c r="G31" s="64"/>
      <c r="H31" s="65"/>
      <c r="I31" s="65"/>
      <c r="J31" s="65"/>
      <c r="K31" s="65"/>
      <c r="L31" s="65"/>
      <c r="M31" s="65"/>
      <c r="N31" s="65"/>
      <c r="O31" s="65"/>
      <c r="P31" s="66">
        <f t="shared" si="0"/>
        <v>0</v>
      </c>
    </row>
    <row r="32" spans="1:16">
      <c r="A32" s="3">
        <v>30</v>
      </c>
      <c r="B32" s="3" t="s">
        <v>3</v>
      </c>
      <c r="C32" s="3"/>
      <c r="D32" s="64"/>
      <c r="E32" s="64"/>
      <c r="F32" s="64"/>
      <c r="G32" s="64"/>
      <c r="H32" s="65"/>
      <c r="I32" s="65"/>
      <c r="J32" s="65"/>
      <c r="K32" s="65"/>
      <c r="L32" s="65"/>
      <c r="M32" s="65"/>
      <c r="N32" s="65"/>
      <c r="O32" s="65"/>
      <c r="P32" s="66">
        <f t="shared" si="0"/>
        <v>0</v>
      </c>
    </row>
    <row r="33" spans="1:16">
      <c r="A33" s="3">
        <v>31</v>
      </c>
      <c r="B33" s="3" t="s">
        <v>3</v>
      </c>
      <c r="C33" s="3"/>
      <c r="D33" s="64"/>
      <c r="E33" s="64"/>
      <c r="F33" s="64"/>
      <c r="G33" s="64"/>
      <c r="H33" s="65"/>
      <c r="I33" s="65"/>
      <c r="J33" s="65"/>
      <c r="K33" s="65"/>
      <c r="L33" s="65"/>
      <c r="M33" s="65"/>
      <c r="N33" s="65"/>
      <c r="O33" s="65"/>
      <c r="P33" s="66">
        <f t="shared" si="0"/>
        <v>0</v>
      </c>
    </row>
    <row r="34" spans="1:16">
      <c r="A34" s="3">
        <v>32</v>
      </c>
      <c r="B34" s="3" t="s">
        <v>3</v>
      </c>
      <c r="C34" s="3"/>
      <c r="D34" s="64"/>
      <c r="E34" s="64"/>
      <c r="F34" s="64"/>
      <c r="G34" s="64"/>
      <c r="H34" s="65"/>
      <c r="I34" s="65"/>
      <c r="J34" s="65"/>
      <c r="K34" s="65"/>
      <c r="L34" s="65"/>
      <c r="M34" s="65"/>
      <c r="N34" s="65"/>
      <c r="O34" s="65"/>
      <c r="P34" s="66">
        <f t="shared" si="0"/>
        <v>0</v>
      </c>
    </row>
    <row r="35" spans="1:16">
      <c r="A35" s="3">
        <v>33</v>
      </c>
      <c r="B35" s="3" t="s">
        <v>3</v>
      </c>
      <c r="C35" s="3"/>
      <c r="D35" s="64"/>
      <c r="E35" s="64"/>
      <c r="F35" s="64"/>
      <c r="G35" s="64"/>
      <c r="H35" s="65"/>
      <c r="I35" s="65"/>
      <c r="J35" s="65"/>
      <c r="K35" s="65"/>
      <c r="L35" s="65"/>
      <c r="M35" s="65"/>
      <c r="N35" s="65"/>
      <c r="O35" s="65"/>
      <c r="P35" s="66">
        <f t="shared" si="0"/>
        <v>0</v>
      </c>
    </row>
    <row r="36" spans="1:16">
      <c r="A36" s="3">
        <v>34</v>
      </c>
      <c r="B36" s="3" t="s">
        <v>3</v>
      </c>
      <c r="C36" s="3"/>
      <c r="D36" s="64"/>
      <c r="E36" s="64"/>
      <c r="F36" s="64"/>
      <c r="G36" s="64"/>
      <c r="H36" s="65"/>
      <c r="I36" s="65"/>
      <c r="J36" s="65"/>
      <c r="K36" s="65"/>
      <c r="L36" s="65"/>
      <c r="M36" s="65"/>
      <c r="N36" s="65"/>
      <c r="O36" s="65"/>
      <c r="P36" s="66">
        <f t="shared" si="0"/>
        <v>0</v>
      </c>
    </row>
    <row r="37" spans="1:16">
      <c r="A37" s="3">
        <v>35</v>
      </c>
      <c r="B37" s="3" t="s">
        <v>3</v>
      </c>
      <c r="C37" s="3"/>
      <c r="D37" s="64"/>
      <c r="E37" s="64"/>
      <c r="F37" s="64"/>
      <c r="G37" s="64"/>
      <c r="H37" s="65"/>
      <c r="I37" s="65"/>
      <c r="J37" s="65"/>
      <c r="K37" s="65"/>
      <c r="L37" s="65"/>
      <c r="M37" s="65"/>
      <c r="N37" s="65"/>
      <c r="O37" s="65"/>
      <c r="P37" s="66">
        <f t="shared" si="0"/>
        <v>0</v>
      </c>
    </row>
    <row r="38" spans="1:16">
      <c r="A38" s="3">
        <v>36</v>
      </c>
      <c r="B38" s="3" t="s">
        <v>3</v>
      </c>
      <c r="C38" s="3"/>
      <c r="D38" s="64"/>
      <c r="E38" s="64"/>
      <c r="F38" s="64"/>
      <c r="G38" s="64"/>
      <c r="H38" s="65"/>
      <c r="I38" s="65"/>
      <c r="J38" s="65"/>
      <c r="K38" s="65"/>
      <c r="L38" s="65"/>
      <c r="M38" s="65"/>
      <c r="N38" s="65"/>
      <c r="O38" s="65"/>
      <c r="P38" s="66">
        <f t="shared" si="0"/>
        <v>0</v>
      </c>
    </row>
    <row r="39" spans="1:16">
      <c r="A39" s="3">
        <v>37</v>
      </c>
      <c r="B39" s="3" t="s">
        <v>3</v>
      </c>
      <c r="C39" s="3"/>
      <c r="D39" s="64"/>
      <c r="E39" s="64"/>
      <c r="F39" s="64"/>
      <c r="G39" s="64"/>
      <c r="H39" s="65"/>
      <c r="I39" s="65"/>
      <c r="J39" s="65"/>
      <c r="K39" s="65"/>
      <c r="L39" s="65"/>
      <c r="M39" s="65"/>
      <c r="N39" s="65"/>
      <c r="O39" s="65"/>
      <c r="P39" s="66">
        <f t="shared" si="0"/>
        <v>0</v>
      </c>
    </row>
    <row r="40" spans="1:16">
      <c r="A40" s="3">
        <v>38</v>
      </c>
      <c r="B40" s="3" t="s">
        <v>3</v>
      </c>
      <c r="C40" s="3"/>
      <c r="D40" s="64"/>
      <c r="E40" s="64"/>
      <c r="F40" s="64"/>
      <c r="G40" s="64"/>
      <c r="H40" s="65"/>
      <c r="I40" s="65"/>
      <c r="J40" s="65"/>
      <c r="K40" s="65"/>
      <c r="L40" s="65"/>
      <c r="M40" s="65"/>
      <c r="N40" s="65"/>
      <c r="O40" s="65"/>
      <c r="P40" s="66">
        <f t="shared" si="0"/>
        <v>0</v>
      </c>
    </row>
    <row r="41" spans="1:16">
      <c r="A41" s="3">
        <v>39</v>
      </c>
      <c r="B41" s="3" t="s">
        <v>3</v>
      </c>
      <c r="C41" s="3"/>
      <c r="D41" s="64"/>
      <c r="E41" s="64"/>
      <c r="F41" s="64"/>
      <c r="G41" s="64"/>
      <c r="H41" s="65"/>
      <c r="I41" s="65"/>
      <c r="J41" s="65"/>
      <c r="K41" s="65"/>
      <c r="L41" s="65"/>
      <c r="M41" s="65"/>
      <c r="N41" s="65"/>
      <c r="O41" s="65"/>
      <c r="P41" s="66">
        <f t="shared" si="0"/>
        <v>0</v>
      </c>
    </row>
    <row r="42" spans="1:16">
      <c r="A42" s="3">
        <v>40</v>
      </c>
      <c r="B42" s="3" t="s">
        <v>3</v>
      </c>
      <c r="C42" s="3"/>
      <c r="D42" s="64"/>
      <c r="E42" s="64"/>
      <c r="F42" s="64"/>
      <c r="G42" s="64"/>
      <c r="H42" s="65"/>
      <c r="I42" s="65"/>
      <c r="J42" s="65"/>
      <c r="K42" s="65"/>
      <c r="L42" s="65"/>
      <c r="M42" s="65"/>
      <c r="N42" s="65"/>
      <c r="O42" s="65"/>
      <c r="P42" s="66">
        <f t="shared" si="0"/>
        <v>0</v>
      </c>
    </row>
    <row r="43" spans="1:16">
      <c r="A43" s="3">
        <v>41</v>
      </c>
      <c r="B43" s="3" t="s">
        <v>3</v>
      </c>
      <c r="C43" s="3"/>
      <c r="D43" s="64"/>
      <c r="E43" s="64"/>
      <c r="F43" s="64"/>
      <c r="G43" s="64"/>
      <c r="H43" s="65"/>
      <c r="I43" s="65"/>
      <c r="J43" s="65"/>
      <c r="K43" s="65"/>
      <c r="L43" s="65"/>
      <c r="M43" s="65"/>
      <c r="N43" s="65"/>
      <c r="O43" s="65"/>
      <c r="P43" s="66">
        <f t="shared" si="0"/>
        <v>0</v>
      </c>
    </row>
    <row r="44" spans="1:16">
      <c r="A44" s="3">
        <v>42</v>
      </c>
      <c r="B44" s="3" t="s">
        <v>3</v>
      </c>
      <c r="C44" s="3"/>
      <c r="D44" s="64"/>
      <c r="E44" s="64"/>
      <c r="F44" s="64"/>
      <c r="G44" s="64"/>
      <c r="H44" s="65"/>
      <c r="I44" s="65"/>
      <c r="J44" s="65"/>
      <c r="K44" s="65"/>
      <c r="L44" s="65"/>
      <c r="M44" s="65"/>
      <c r="N44" s="65"/>
      <c r="O44" s="65"/>
      <c r="P44" s="66">
        <f t="shared" si="0"/>
        <v>0</v>
      </c>
    </row>
    <row r="45" spans="1:16">
      <c r="A45" s="3">
        <v>43</v>
      </c>
      <c r="B45" s="3" t="s">
        <v>3</v>
      </c>
      <c r="C45" s="3"/>
      <c r="D45" s="64"/>
      <c r="E45" s="64"/>
      <c r="F45" s="64"/>
      <c r="G45" s="64"/>
      <c r="H45" s="65"/>
      <c r="I45" s="65"/>
      <c r="J45" s="65"/>
      <c r="K45" s="65"/>
      <c r="L45" s="65"/>
      <c r="M45" s="65"/>
      <c r="N45" s="65"/>
      <c r="O45" s="65"/>
      <c r="P45" s="66">
        <f t="shared" si="0"/>
        <v>0</v>
      </c>
    </row>
    <row r="46" spans="1:16">
      <c r="A46" s="3">
        <v>44</v>
      </c>
      <c r="B46" s="3" t="s">
        <v>3</v>
      </c>
      <c r="C46" s="3"/>
      <c r="D46" s="64"/>
      <c r="E46" s="64"/>
      <c r="F46" s="64"/>
      <c r="G46" s="64"/>
      <c r="H46" s="65"/>
      <c r="I46" s="65"/>
      <c r="J46" s="65"/>
      <c r="K46" s="65"/>
      <c r="L46" s="65"/>
      <c r="M46" s="65"/>
      <c r="N46" s="65"/>
      <c r="O46" s="65"/>
      <c r="P46" s="66">
        <f t="shared" si="0"/>
        <v>0</v>
      </c>
    </row>
    <row r="47" spans="1:16">
      <c r="A47" s="3">
        <v>45</v>
      </c>
      <c r="B47" s="3" t="s">
        <v>3</v>
      </c>
      <c r="C47" s="3"/>
      <c r="D47" s="64"/>
      <c r="E47" s="64"/>
      <c r="F47" s="64"/>
      <c r="G47" s="64"/>
      <c r="H47" s="65"/>
      <c r="I47" s="65"/>
      <c r="J47" s="65"/>
      <c r="K47" s="65"/>
      <c r="L47" s="65"/>
      <c r="M47" s="65"/>
      <c r="N47" s="65"/>
      <c r="O47" s="65"/>
      <c r="P47" s="66">
        <f t="shared" si="0"/>
        <v>0</v>
      </c>
    </row>
    <row r="48" spans="1:16">
      <c r="A48" s="3">
        <v>46</v>
      </c>
      <c r="B48" s="3" t="s">
        <v>3</v>
      </c>
      <c r="C48" s="3"/>
      <c r="D48" s="64"/>
      <c r="E48" s="64"/>
      <c r="F48" s="64"/>
      <c r="G48" s="64"/>
      <c r="H48" s="65"/>
      <c r="I48" s="65"/>
      <c r="J48" s="65"/>
      <c r="K48" s="65"/>
      <c r="L48" s="65"/>
      <c r="M48" s="65"/>
      <c r="N48" s="65"/>
      <c r="O48" s="65"/>
      <c r="P48" s="66">
        <f t="shared" si="0"/>
        <v>0</v>
      </c>
    </row>
    <row r="49" spans="1:16">
      <c r="A49" s="3">
        <v>47</v>
      </c>
      <c r="B49" s="3" t="s">
        <v>3</v>
      </c>
      <c r="C49" s="3"/>
      <c r="D49" s="64"/>
      <c r="E49" s="64"/>
      <c r="F49" s="64"/>
      <c r="G49" s="64"/>
      <c r="H49" s="65"/>
      <c r="I49" s="65"/>
      <c r="J49" s="65"/>
      <c r="K49" s="65"/>
      <c r="L49" s="65"/>
      <c r="M49" s="65"/>
      <c r="N49" s="65"/>
      <c r="O49" s="65"/>
      <c r="P49" s="66">
        <f t="shared" si="0"/>
        <v>0</v>
      </c>
    </row>
    <row r="50" spans="1:16">
      <c r="A50" s="3">
        <v>48</v>
      </c>
      <c r="B50" s="3" t="s">
        <v>3</v>
      </c>
      <c r="C50" s="3"/>
      <c r="D50" s="64"/>
      <c r="E50" s="64"/>
      <c r="F50" s="64"/>
      <c r="G50" s="64"/>
      <c r="H50" s="65"/>
      <c r="I50" s="65"/>
      <c r="J50" s="65"/>
      <c r="K50" s="65"/>
      <c r="L50" s="65"/>
      <c r="M50" s="65"/>
      <c r="N50" s="65"/>
      <c r="O50" s="65"/>
      <c r="P50" s="66">
        <f t="shared" si="0"/>
        <v>0</v>
      </c>
    </row>
    <row r="51" spans="1:16">
      <c r="A51" s="3">
        <v>49</v>
      </c>
      <c r="B51" s="3" t="s">
        <v>3</v>
      </c>
      <c r="C51" s="3"/>
      <c r="D51" s="64"/>
      <c r="E51" s="64"/>
      <c r="F51" s="64"/>
      <c r="G51" s="64"/>
      <c r="H51" s="65"/>
      <c r="I51" s="65"/>
      <c r="J51" s="65"/>
      <c r="K51" s="65"/>
      <c r="L51" s="65"/>
      <c r="M51" s="65"/>
      <c r="N51" s="65"/>
      <c r="O51" s="65"/>
      <c r="P51" s="66">
        <f t="shared" si="0"/>
        <v>0</v>
      </c>
    </row>
    <row r="52" spans="1:16">
      <c r="A52" s="3">
        <v>50</v>
      </c>
      <c r="B52" s="3" t="s">
        <v>3</v>
      </c>
      <c r="C52" s="3"/>
      <c r="D52" s="64"/>
      <c r="E52" s="64"/>
      <c r="F52" s="64"/>
      <c r="G52" s="64"/>
      <c r="H52" s="65"/>
      <c r="I52" s="65"/>
      <c r="J52" s="65"/>
      <c r="K52" s="65"/>
      <c r="L52" s="65"/>
      <c r="M52" s="65"/>
      <c r="N52" s="65"/>
      <c r="O52" s="65"/>
      <c r="P52" s="66">
        <f t="shared" si="0"/>
        <v>0</v>
      </c>
    </row>
    <row r="53" spans="1:16">
      <c r="A53" s="3">
        <v>51</v>
      </c>
      <c r="B53" s="3" t="s">
        <v>3</v>
      </c>
      <c r="C53" s="3"/>
      <c r="D53" s="64"/>
      <c r="E53" s="64"/>
      <c r="F53" s="64"/>
      <c r="G53" s="64"/>
      <c r="H53" s="65"/>
      <c r="I53" s="65"/>
      <c r="J53" s="65"/>
      <c r="K53" s="65"/>
      <c r="L53" s="65"/>
      <c r="M53" s="65"/>
      <c r="N53" s="65"/>
      <c r="O53" s="65"/>
      <c r="P53" s="66">
        <f t="shared" si="0"/>
        <v>0</v>
      </c>
    </row>
    <row r="54" spans="1:16">
      <c r="A54" s="3">
        <v>52</v>
      </c>
      <c r="B54" s="3" t="s">
        <v>3</v>
      </c>
      <c r="C54" s="3"/>
      <c r="D54" s="64"/>
      <c r="E54" s="64"/>
      <c r="F54" s="64"/>
      <c r="G54" s="64"/>
      <c r="H54" s="65"/>
      <c r="I54" s="65"/>
      <c r="J54" s="65"/>
      <c r="K54" s="65"/>
      <c r="L54" s="65"/>
      <c r="M54" s="65"/>
      <c r="N54" s="65"/>
      <c r="O54" s="65"/>
      <c r="P54" s="66">
        <f t="shared" si="0"/>
        <v>0</v>
      </c>
    </row>
    <row r="55" spans="1:16">
      <c r="A55" s="3">
        <v>53</v>
      </c>
      <c r="B55" s="3" t="s">
        <v>3</v>
      </c>
      <c r="C55" s="3"/>
      <c r="D55" s="64"/>
      <c r="E55" s="64"/>
      <c r="F55" s="64"/>
      <c r="G55" s="64"/>
      <c r="H55" s="65"/>
      <c r="I55" s="65"/>
      <c r="J55" s="65"/>
      <c r="K55" s="65"/>
      <c r="L55" s="65"/>
      <c r="M55" s="65"/>
      <c r="N55" s="65"/>
      <c r="O55" s="65"/>
      <c r="P55" s="66">
        <f t="shared" si="0"/>
        <v>0</v>
      </c>
    </row>
    <row r="56" spans="1:16">
      <c r="A56" s="3">
        <v>54</v>
      </c>
      <c r="B56" s="3" t="s">
        <v>3</v>
      </c>
      <c r="C56" s="3"/>
      <c r="D56" s="64"/>
      <c r="E56" s="64"/>
      <c r="F56" s="64"/>
      <c r="G56" s="64"/>
      <c r="H56" s="65"/>
      <c r="I56" s="65"/>
      <c r="J56" s="65"/>
      <c r="K56" s="65"/>
      <c r="L56" s="65"/>
      <c r="M56" s="65"/>
      <c r="N56" s="65"/>
      <c r="O56" s="65"/>
      <c r="P56" s="66">
        <f t="shared" si="0"/>
        <v>0</v>
      </c>
    </row>
    <row r="57" spans="1:16">
      <c r="A57" s="3">
        <v>55</v>
      </c>
      <c r="B57" s="3" t="s">
        <v>3</v>
      </c>
      <c r="C57" s="3"/>
      <c r="D57" s="64"/>
      <c r="E57" s="64"/>
      <c r="F57" s="64"/>
      <c r="G57" s="64"/>
      <c r="H57" s="65"/>
      <c r="I57" s="65"/>
      <c r="J57" s="65"/>
      <c r="K57" s="65"/>
      <c r="L57" s="65"/>
      <c r="M57" s="65"/>
      <c r="N57" s="65"/>
      <c r="O57" s="65"/>
      <c r="P57" s="66">
        <f t="shared" si="0"/>
        <v>0</v>
      </c>
    </row>
    <row r="58" spans="1:16">
      <c r="A58" s="3">
        <v>56</v>
      </c>
      <c r="B58" s="3" t="s">
        <v>3</v>
      </c>
      <c r="C58" s="3"/>
      <c r="D58" s="64"/>
      <c r="E58" s="64"/>
      <c r="F58" s="64"/>
      <c r="G58" s="64"/>
      <c r="H58" s="65"/>
      <c r="I58" s="65"/>
      <c r="J58" s="65"/>
      <c r="K58" s="65"/>
      <c r="L58" s="65"/>
      <c r="M58" s="65"/>
      <c r="N58" s="65"/>
      <c r="O58" s="65"/>
      <c r="P58" s="66">
        <f t="shared" si="0"/>
        <v>0</v>
      </c>
    </row>
    <row r="59" spans="1:16">
      <c r="A59" s="3">
        <v>57</v>
      </c>
      <c r="B59" s="3" t="s">
        <v>3</v>
      </c>
      <c r="C59" s="3"/>
      <c r="D59" s="64"/>
      <c r="E59" s="64"/>
      <c r="F59" s="64"/>
      <c r="G59" s="64"/>
      <c r="H59" s="65"/>
      <c r="I59" s="65"/>
      <c r="J59" s="65"/>
      <c r="K59" s="65"/>
      <c r="L59" s="65"/>
      <c r="M59" s="65"/>
      <c r="N59" s="65"/>
      <c r="O59" s="65"/>
      <c r="P59" s="66">
        <f t="shared" si="0"/>
        <v>0</v>
      </c>
    </row>
    <row r="60" spans="1:16">
      <c r="A60" s="3">
        <v>58</v>
      </c>
      <c r="B60" s="3" t="s">
        <v>3</v>
      </c>
      <c r="C60" s="3"/>
      <c r="D60" s="64"/>
      <c r="E60" s="64"/>
      <c r="F60" s="64"/>
      <c r="G60" s="64"/>
      <c r="H60" s="65"/>
      <c r="I60" s="65"/>
      <c r="J60" s="65"/>
      <c r="K60" s="65"/>
      <c r="L60" s="65"/>
      <c r="M60" s="65"/>
      <c r="N60" s="65"/>
      <c r="O60" s="65"/>
      <c r="P60" s="66">
        <f t="shared" si="0"/>
        <v>0</v>
      </c>
    </row>
    <row r="61" spans="1:16">
      <c r="A61" s="3">
        <v>59</v>
      </c>
      <c r="B61" s="3" t="s">
        <v>3</v>
      </c>
      <c r="C61" s="3"/>
      <c r="D61" s="64"/>
      <c r="E61" s="64"/>
      <c r="F61" s="64"/>
      <c r="G61" s="64"/>
      <c r="H61" s="65"/>
      <c r="I61" s="65"/>
      <c r="J61" s="65"/>
      <c r="K61" s="65"/>
      <c r="L61" s="65"/>
      <c r="M61" s="65"/>
      <c r="N61" s="65"/>
      <c r="O61" s="65"/>
      <c r="P61" s="66">
        <f t="shared" si="0"/>
        <v>0</v>
      </c>
    </row>
    <row r="62" spans="1:16">
      <c r="A62" s="3">
        <v>60</v>
      </c>
      <c r="B62" s="3" t="s">
        <v>3</v>
      </c>
      <c r="C62" s="3"/>
      <c r="D62" s="64"/>
      <c r="E62" s="64"/>
      <c r="F62" s="64"/>
      <c r="G62" s="64"/>
      <c r="H62" s="65"/>
      <c r="I62" s="65"/>
      <c r="J62" s="65"/>
      <c r="K62" s="65"/>
      <c r="L62" s="65"/>
      <c r="M62" s="65"/>
      <c r="N62" s="65"/>
      <c r="O62" s="65"/>
      <c r="P62" s="66">
        <f t="shared" si="0"/>
        <v>0</v>
      </c>
    </row>
    <row r="63" spans="1:16">
      <c r="A63" s="3">
        <v>61</v>
      </c>
      <c r="B63" s="3" t="s">
        <v>3</v>
      </c>
      <c r="C63" s="3"/>
      <c r="D63" s="64"/>
      <c r="E63" s="64"/>
      <c r="F63" s="64"/>
      <c r="G63" s="64"/>
      <c r="H63" s="65"/>
      <c r="I63" s="65"/>
      <c r="J63" s="65"/>
      <c r="K63" s="65"/>
      <c r="L63" s="65"/>
      <c r="M63" s="65"/>
      <c r="N63" s="65"/>
      <c r="O63" s="65"/>
      <c r="P63" s="66">
        <f t="shared" si="0"/>
        <v>0</v>
      </c>
    </row>
    <row r="64" spans="1:16">
      <c r="A64" s="3">
        <v>62</v>
      </c>
      <c r="B64" s="3" t="s">
        <v>3</v>
      </c>
      <c r="C64" s="3"/>
      <c r="D64" s="64"/>
      <c r="E64" s="64"/>
      <c r="F64" s="64"/>
      <c r="G64" s="64"/>
      <c r="H64" s="65"/>
      <c r="I64" s="65"/>
      <c r="J64" s="65"/>
      <c r="K64" s="65"/>
      <c r="L64" s="65"/>
      <c r="M64" s="65"/>
      <c r="N64" s="65"/>
      <c r="O64" s="65"/>
      <c r="P64" s="66">
        <f t="shared" si="0"/>
        <v>0</v>
      </c>
    </row>
    <row r="65" spans="1:16">
      <c r="A65" s="3">
        <v>63</v>
      </c>
      <c r="B65" s="3" t="s">
        <v>3</v>
      </c>
      <c r="C65" s="3"/>
      <c r="D65" s="64"/>
      <c r="E65" s="64"/>
      <c r="F65" s="64"/>
      <c r="G65" s="64"/>
      <c r="H65" s="65"/>
      <c r="I65" s="65"/>
      <c r="J65" s="65"/>
      <c r="K65" s="65"/>
      <c r="L65" s="65"/>
      <c r="M65" s="65"/>
      <c r="N65" s="65"/>
      <c r="O65" s="65"/>
      <c r="P65" s="66">
        <f t="shared" si="0"/>
        <v>0</v>
      </c>
    </row>
    <row r="66" spans="1:16">
      <c r="A66" s="3">
        <v>64</v>
      </c>
      <c r="B66" s="3" t="s">
        <v>3</v>
      </c>
      <c r="C66" s="3"/>
      <c r="D66" s="64"/>
      <c r="E66" s="64"/>
      <c r="F66" s="64"/>
      <c r="G66" s="64"/>
      <c r="H66" s="65"/>
      <c r="I66" s="65"/>
      <c r="J66" s="65"/>
      <c r="K66" s="65"/>
      <c r="L66" s="65"/>
      <c r="M66" s="65"/>
      <c r="N66" s="65"/>
      <c r="O66" s="65"/>
      <c r="P66" s="66">
        <f t="shared" si="0"/>
        <v>0</v>
      </c>
    </row>
    <row r="67" spans="1:16">
      <c r="A67" s="3">
        <v>65</v>
      </c>
      <c r="B67" s="3" t="s">
        <v>3</v>
      </c>
      <c r="C67" s="3"/>
      <c r="D67" s="64"/>
      <c r="E67" s="64"/>
      <c r="F67" s="64"/>
      <c r="G67" s="64"/>
      <c r="H67" s="65"/>
      <c r="I67" s="65"/>
      <c r="J67" s="65"/>
      <c r="K67" s="65"/>
      <c r="L67" s="65"/>
      <c r="M67" s="65"/>
      <c r="N67" s="65"/>
      <c r="O67" s="65"/>
      <c r="P67" s="66">
        <f t="shared" si="0"/>
        <v>0</v>
      </c>
    </row>
    <row r="68" spans="1:16">
      <c r="A68" s="3">
        <v>66</v>
      </c>
      <c r="B68" s="3" t="s">
        <v>3</v>
      </c>
      <c r="C68" s="3"/>
      <c r="D68" s="64"/>
      <c r="E68" s="64"/>
      <c r="F68" s="64"/>
      <c r="G68" s="64"/>
      <c r="H68" s="65"/>
      <c r="I68" s="65"/>
      <c r="J68" s="65"/>
      <c r="K68" s="65"/>
      <c r="L68" s="65"/>
      <c r="M68" s="65"/>
      <c r="N68" s="65"/>
      <c r="O68" s="65"/>
      <c r="P68" s="66">
        <f t="shared" ref="P68:P97" si="1">SUM(D68:O68)</f>
        <v>0</v>
      </c>
    </row>
    <row r="69" spans="1:16">
      <c r="A69" s="3">
        <v>67</v>
      </c>
      <c r="B69" s="3" t="s">
        <v>3</v>
      </c>
      <c r="C69" s="3"/>
      <c r="D69" s="64"/>
      <c r="E69" s="64"/>
      <c r="F69" s="64"/>
      <c r="G69" s="64"/>
      <c r="H69" s="65"/>
      <c r="I69" s="65"/>
      <c r="J69" s="65"/>
      <c r="K69" s="65"/>
      <c r="L69" s="65"/>
      <c r="M69" s="65"/>
      <c r="N69" s="65"/>
      <c r="O69" s="65"/>
      <c r="P69" s="66">
        <f t="shared" si="1"/>
        <v>0</v>
      </c>
    </row>
    <row r="70" spans="1:16">
      <c r="A70" s="3">
        <v>68</v>
      </c>
      <c r="B70" s="3" t="s">
        <v>3</v>
      </c>
      <c r="C70" s="3"/>
      <c r="D70" s="64"/>
      <c r="E70" s="64"/>
      <c r="F70" s="64"/>
      <c r="G70" s="64"/>
      <c r="H70" s="65"/>
      <c r="I70" s="65"/>
      <c r="J70" s="65"/>
      <c r="K70" s="65"/>
      <c r="L70" s="65"/>
      <c r="M70" s="65"/>
      <c r="N70" s="65"/>
      <c r="O70" s="65"/>
      <c r="P70" s="66">
        <f t="shared" si="1"/>
        <v>0</v>
      </c>
    </row>
    <row r="71" spans="1:16">
      <c r="A71" s="3">
        <v>69</v>
      </c>
      <c r="B71" s="3" t="s">
        <v>3</v>
      </c>
      <c r="C71" s="3"/>
      <c r="D71" s="64"/>
      <c r="E71" s="64"/>
      <c r="F71" s="64"/>
      <c r="G71" s="64"/>
      <c r="H71" s="65"/>
      <c r="I71" s="65"/>
      <c r="J71" s="65"/>
      <c r="K71" s="65"/>
      <c r="L71" s="65"/>
      <c r="M71" s="65"/>
      <c r="N71" s="65"/>
      <c r="O71" s="65"/>
      <c r="P71" s="66">
        <f t="shared" si="1"/>
        <v>0</v>
      </c>
    </row>
    <row r="72" spans="1:16">
      <c r="A72" s="3">
        <v>70</v>
      </c>
      <c r="B72" s="3" t="s">
        <v>3</v>
      </c>
      <c r="C72" s="3"/>
      <c r="D72" s="64"/>
      <c r="E72" s="64"/>
      <c r="F72" s="64"/>
      <c r="G72" s="64"/>
      <c r="H72" s="65"/>
      <c r="I72" s="65"/>
      <c r="J72" s="65"/>
      <c r="K72" s="65"/>
      <c r="L72" s="65"/>
      <c r="M72" s="65"/>
      <c r="N72" s="65"/>
      <c r="O72" s="65"/>
      <c r="P72" s="66">
        <f t="shared" si="1"/>
        <v>0</v>
      </c>
    </row>
    <row r="73" spans="1:16">
      <c r="A73" s="3">
        <v>71</v>
      </c>
      <c r="B73" s="3" t="s">
        <v>3</v>
      </c>
      <c r="C73" s="3"/>
      <c r="D73" s="64"/>
      <c r="E73" s="64"/>
      <c r="F73" s="64"/>
      <c r="G73" s="64"/>
      <c r="H73" s="65"/>
      <c r="I73" s="65"/>
      <c r="J73" s="65"/>
      <c r="K73" s="65"/>
      <c r="L73" s="65"/>
      <c r="M73" s="65"/>
      <c r="N73" s="65"/>
      <c r="O73" s="65"/>
      <c r="P73" s="66">
        <f t="shared" si="1"/>
        <v>0</v>
      </c>
    </row>
    <row r="74" spans="1:16">
      <c r="A74" s="3">
        <v>72</v>
      </c>
      <c r="B74" s="3" t="s">
        <v>3</v>
      </c>
      <c r="C74" s="3"/>
      <c r="D74" s="64"/>
      <c r="E74" s="64"/>
      <c r="F74" s="64"/>
      <c r="G74" s="64"/>
      <c r="H74" s="65"/>
      <c r="I74" s="65"/>
      <c r="J74" s="65"/>
      <c r="K74" s="65"/>
      <c r="L74" s="65"/>
      <c r="M74" s="65"/>
      <c r="N74" s="65"/>
      <c r="O74" s="65"/>
      <c r="P74" s="66">
        <f t="shared" si="1"/>
        <v>0</v>
      </c>
    </row>
    <row r="75" spans="1:16">
      <c r="A75" s="3">
        <v>73</v>
      </c>
      <c r="B75" s="3" t="s">
        <v>3</v>
      </c>
      <c r="C75" s="3"/>
      <c r="D75" s="64"/>
      <c r="E75" s="64"/>
      <c r="F75" s="64"/>
      <c r="G75" s="64"/>
      <c r="H75" s="65"/>
      <c r="I75" s="65"/>
      <c r="J75" s="65"/>
      <c r="K75" s="65"/>
      <c r="L75" s="65"/>
      <c r="M75" s="65"/>
      <c r="N75" s="65"/>
      <c r="O75" s="65"/>
      <c r="P75" s="66">
        <f t="shared" si="1"/>
        <v>0</v>
      </c>
    </row>
    <row r="76" spans="1:16">
      <c r="A76" s="3">
        <v>74</v>
      </c>
      <c r="B76" s="3" t="s">
        <v>3</v>
      </c>
      <c r="C76" s="3"/>
      <c r="D76" s="64"/>
      <c r="E76" s="64"/>
      <c r="F76" s="64"/>
      <c r="G76" s="64"/>
      <c r="H76" s="65"/>
      <c r="I76" s="65"/>
      <c r="J76" s="65"/>
      <c r="K76" s="65"/>
      <c r="L76" s="65"/>
      <c r="M76" s="65"/>
      <c r="N76" s="65"/>
      <c r="O76" s="65"/>
      <c r="P76" s="66">
        <f t="shared" si="1"/>
        <v>0</v>
      </c>
    </row>
    <row r="77" spans="1:16">
      <c r="A77" s="3">
        <v>75</v>
      </c>
      <c r="B77" s="3" t="s">
        <v>3</v>
      </c>
      <c r="C77" s="3"/>
      <c r="D77" s="64"/>
      <c r="E77" s="64"/>
      <c r="F77" s="64"/>
      <c r="G77" s="64"/>
      <c r="H77" s="65"/>
      <c r="I77" s="65"/>
      <c r="J77" s="65"/>
      <c r="K77" s="65"/>
      <c r="L77" s="65"/>
      <c r="M77" s="65"/>
      <c r="N77" s="65"/>
      <c r="O77" s="65"/>
      <c r="P77" s="66">
        <f t="shared" si="1"/>
        <v>0</v>
      </c>
    </row>
    <row r="78" spans="1:16">
      <c r="A78" s="3">
        <v>76</v>
      </c>
      <c r="B78" s="3" t="s">
        <v>3</v>
      </c>
      <c r="C78" s="67"/>
      <c r="D78" s="68"/>
      <c r="E78" s="68"/>
      <c r="F78" s="68"/>
      <c r="G78" s="68"/>
      <c r="H78" s="65"/>
      <c r="I78" s="65"/>
      <c r="J78" s="65"/>
      <c r="K78" s="65"/>
      <c r="L78" s="65"/>
      <c r="M78" s="65"/>
      <c r="N78" s="65"/>
      <c r="O78" s="65"/>
      <c r="P78" s="66">
        <f t="shared" si="1"/>
        <v>0</v>
      </c>
    </row>
    <row r="79" spans="1:16">
      <c r="A79" s="3">
        <v>77</v>
      </c>
      <c r="B79" s="3" t="s">
        <v>3</v>
      </c>
      <c r="C79" s="3"/>
      <c r="D79" s="64"/>
      <c r="E79" s="64"/>
      <c r="F79" s="64"/>
      <c r="G79" s="64"/>
      <c r="H79" s="65"/>
      <c r="I79" s="65"/>
      <c r="J79" s="65"/>
      <c r="K79" s="65"/>
      <c r="L79" s="65"/>
      <c r="M79" s="65"/>
      <c r="N79" s="65"/>
      <c r="O79" s="65"/>
      <c r="P79" s="66">
        <f t="shared" si="1"/>
        <v>0</v>
      </c>
    </row>
    <row r="80" spans="1:16">
      <c r="A80" s="3">
        <v>78</v>
      </c>
      <c r="B80" s="3" t="s">
        <v>3</v>
      </c>
      <c r="C80" s="3"/>
      <c r="D80" s="64"/>
      <c r="E80" s="64"/>
      <c r="F80" s="64"/>
      <c r="G80" s="64"/>
      <c r="H80" s="65"/>
      <c r="I80" s="65"/>
      <c r="J80" s="65"/>
      <c r="K80" s="65"/>
      <c r="L80" s="65"/>
      <c r="M80" s="65"/>
      <c r="N80" s="65"/>
      <c r="O80" s="65"/>
      <c r="P80" s="66">
        <f t="shared" si="1"/>
        <v>0</v>
      </c>
    </row>
    <row r="81" spans="1:16">
      <c r="A81" s="67">
        <v>79</v>
      </c>
      <c r="B81" s="3" t="s">
        <v>3</v>
      </c>
      <c r="C81" s="3"/>
      <c r="D81" s="64"/>
      <c r="E81" s="64"/>
      <c r="F81" s="64"/>
      <c r="G81" s="64"/>
      <c r="H81" s="65"/>
      <c r="I81" s="65"/>
      <c r="J81" s="65"/>
      <c r="K81" s="65"/>
      <c r="L81" s="65"/>
      <c r="M81" s="65"/>
      <c r="N81" s="65"/>
      <c r="O81" s="65"/>
      <c r="P81" s="66">
        <f t="shared" si="1"/>
        <v>0</v>
      </c>
    </row>
    <row r="82" spans="1:16">
      <c r="A82" s="3">
        <v>80</v>
      </c>
      <c r="B82" s="3" t="s">
        <v>3</v>
      </c>
      <c r="C82" s="3"/>
      <c r="D82" s="64"/>
      <c r="E82" s="64"/>
      <c r="F82" s="64"/>
      <c r="G82" s="64"/>
      <c r="H82" s="65"/>
      <c r="I82" s="65"/>
      <c r="J82" s="65"/>
      <c r="K82" s="65"/>
      <c r="L82" s="65"/>
      <c r="M82" s="65"/>
      <c r="N82" s="65"/>
      <c r="O82" s="65"/>
      <c r="P82" s="66">
        <f t="shared" si="1"/>
        <v>0</v>
      </c>
    </row>
    <row r="83" spans="1:16">
      <c r="A83" s="3">
        <v>81</v>
      </c>
      <c r="B83" s="3" t="s">
        <v>3</v>
      </c>
      <c r="C83" s="3"/>
      <c r="D83" s="64"/>
      <c r="E83" s="64"/>
      <c r="F83" s="64"/>
      <c r="G83" s="64"/>
      <c r="H83" s="65"/>
      <c r="I83" s="65"/>
      <c r="J83" s="65"/>
      <c r="K83" s="65"/>
      <c r="L83" s="65"/>
      <c r="M83" s="65"/>
      <c r="N83" s="65"/>
      <c r="O83" s="65"/>
      <c r="P83" s="66">
        <f t="shared" si="1"/>
        <v>0</v>
      </c>
    </row>
    <row r="84" spans="1:16">
      <c r="A84" s="3">
        <v>82</v>
      </c>
      <c r="B84" s="3" t="s">
        <v>3</v>
      </c>
      <c r="C84" s="3"/>
      <c r="D84" s="64"/>
      <c r="E84" s="64"/>
      <c r="F84" s="64"/>
      <c r="G84" s="64"/>
      <c r="H84" s="65"/>
      <c r="I84" s="65"/>
      <c r="J84" s="65"/>
      <c r="K84" s="65"/>
      <c r="L84" s="65"/>
      <c r="M84" s="65"/>
      <c r="N84" s="65"/>
      <c r="O84" s="65"/>
      <c r="P84" s="66">
        <f t="shared" si="1"/>
        <v>0</v>
      </c>
    </row>
    <row r="85" spans="1:16">
      <c r="A85" s="3">
        <v>83</v>
      </c>
      <c r="B85" s="3" t="s">
        <v>3</v>
      </c>
      <c r="C85" s="3"/>
      <c r="D85" s="64"/>
      <c r="E85" s="64"/>
      <c r="F85" s="64"/>
      <c r="G85" s="64"/>
      <c r="H85" s="65"/>
      <c r="I85" s="65"/>
      <c r="J85" s="65"/>
      <c r="K85" s="65"/>
      <c r="L85" s="65"/>
      <c r="M85" s="65"/>
      <c r="N85" s="65"/>
      <c r="O85" s="65"/>
      <c r="P85" s="66">
        <f t="shared" si="1"/>
        <v>0</v>
      </c>
    </row>
    <row r="86" spans="1:16">
      <c r="A86" s="3">
        <v>84</v>
      </c>
      <c r="B86" s="3" t="s">
        <v>3</v>
      </c>
      <c r="C86" s="3"/>
      <c r="D86" s="64"/>
      <c r="E86" s="64"/>
      <c r="F86" s="64"/>
      <c r="G86" s="64"/>
      <c r="H86" s="65"/>
      <c r="I86" s="65"/>
      <c r="J86" s="65"/>
      <c r="K86" s="65"/>
      <c r="L86" s="65"/>
      <c r="M86" s="65"/>
      <c r="N86" s="65"/>
      <c r="O86" s="65"/>
      <c r="P86" s="66">
        <f t="shared" si="1"/>
        <v>0</v>
      </c>
    </row>
    <row r="87" spans="1:16">
      <c r="A87" s="3">
        <v>85</v>
      </c>
      <c r="B87" s="3" t="s">
        <v>3</v>
      </c>
      <c r="C87" s="3"/>
      <c r="D87" s="64"/>
      <c r="E87" s="64"/>
      <c r="F87" s="64"/>
      <c r="G87" s="64"/>
      <c r="H87" s="65"/>
      <c r="I87" s="65"/>
      <c r="J87" s="65"/>
      <c r="K87" s="65"/>
      <c r="L87" s="65"/>
      <c r="M87" s="65"/>
      <c r="N87" s="65"/>
      <c r="O87" s="65"/>
      <c r="P87" s="66">
        <f t="shared" si="1"/>
        <v>0</v>
      </c>
    </row>
    <row r="88" spans="1:16">
      <c r="A88" s="3">
        <v>86</v>
      </c>
      <c r="B88" s="3" t="s">
        <v>3</v>
      </c>
      <c r="C88" s="3"/>
      <c r="D88" s="64"/>
      <c r="E88" s="64"/>
      <c r="F88" s="64"/>
      <c r="G88" s="64"/>
      <c r="H88" s="65"/>
      <c r="I88" s="65"/>
      <c r="J88" s="65"/>
      <c r="K88" s="65"/>
      <c r="L88" s="65"/>
      <c r="M88" s="65"/>
      <c r="N88" s="65"/>
      <c r="O88" s="65"/>
      <c r="P88" s="66">
        <f t="shared" si="1"/>
        <v>0</v>
      </c>
    </row>
    <row r="89" spans="1:16">
      <c r="A89" s="3">
        <v>87</v>
      </c>
      <c r="B89" s="3" t="s">
        <v>3</v>
      </c>
      <c r="C89" s="3"/>
      <c r="D89" s="64"/>
      <c r="E89" s="64"/>
      <c r="F89" s="64"/>
      <c r="G89" s="64"/>
      <c r="H89" s="65"/>
      <c r="I89" s="65"/>
      <c r="J89" s="65"/>
      <c r="K89" s="65"/>
      <c r="L89" s="65"/>
      <c r="M89" s="65"/>
      <c r="N89" s="65"/>
      <c r="O89" s="65"/>
      <c r="P89" s="66">
        <f t="shared" si="1"/>
        <v>0</v>
      </c>
    </row>
    <row r="90" spans="1:16">
      <c r="A90" s="3">
        <v>88</v>
      </c>
      <c r="B90" s="3" t="s">
        <v>3</v>
      </c>
      <c r="C90" s="3"/>
      <c r="D90" s="64"/>
      <c r="E90" s="64"/>
      <c r="F90" s="64"/>
      <c r="G90" s="64"/>
      <c r="H90" s="65"/>
      <c r="I90" s="65"/>
      <c r="J90" s="65"/>
      <c r="K90" s="65"/>
      <c r="L90" s="65"/>
      <c r="M90" s="65"/>
      <c r="N90" s="65"/>
      <c r="O90" s="65"/>
      <c r="P90" s="66">
        <f t="shared" si="1"/>
        <v>0</v>
      </c>
    </row>
    <row r="91" spans="1:16">
      <c r="A91" s="3">
        <v>89</v>
      </c>
      <c r="B91" s="3" t="s">
        <v>3</v>
      </c>
      <c r="C91" s="3"/>
      <c r="D91" s="64"/>
      <c r="E91" s="64"/>
      <c r="F91" s="64"/>
      <c r="G91" s="64"/>
      <c r="H91" s="65"/>
      <c r="I91" s="65"/>
      <c r="J91" s="65"/>
      <c r="K91" s="65"/>
      <c r="L91" s="65"/>
      <c r="M91" s="65"/>
      <c r="N91" s="65"/>
      <c r="O91" s="65"/>
      <c r="P91" s="66">
        <f t="shared" si="1"/>
        <v>0</v>
      </c>
    </row>
    <row r="92" spans="1:16">
      <c r="A92" s="3">
        <v>90</v>
      </c>
      <c r="B92" s="3" t="s">
        <v>3</v>
      </c>
      <c r="C92" s="3"/>
      <c r="D92" s="64"/>
      <c r="E92" s="64"/>
      <c r="F92" s="64"/>
      <c r="G92" s="64"/>
      <c r="H92" s="65"/>
      <c r="I92" s="65"/>
      <c r="J92" s="65"/>
      <c r="K92" s="65"/>
      <c r="L92" s="65"/>
      <c r="M92" s="65"/>
      <c r="N92" s="65"/>
      <c r="O92" s="65"/>
      <c r="P92" s="66">
        <f t="shared" si="1"/>
        <v>0</v>
      </c>
    </row>
    <row r="93" spans="1:16">
      <c r="A93" s="3">
        <v>91</v>
      </c>
      <c r="B93" s="3" t="s">
        <v>3</v>
      </c>
      <c r="C93" s="3"/>
      <c r="D93" s="64"/>
      <c r="E93" s="64"/>
      <c r="F93" s="64"/>
      <c r="G93" s="64"/>
      <c r="H93" s="65"/>
      <c r="I93" s="65"/>
      <c r="J93" s="65"/>
      <c r="K93" s="65"/>
      <c r="L93" s="65"/>
      <c r="M93" s="65"/>
      <c r="N93" s="65"/>
      <c r="O93" s="65"/>
      <c r="P93" s="66">
        <f t="shared" si="1"/>
        <v>0</v>
      </c>
    </row>
    <row r="94" spans="1:16">
      <c r="A94" s="3">
        <v>92</v>
      </c>
      <c r="B94" s="3" t="s">
        <v>3</v>
      </c>
      <c r="C94" s="3"/>
      <c r="D94" s="64"/>
      <c r="E94" s="64"/>
      <c r="F94" s="64"/>
      <c r="G94" s="64"/>
      <c r="H94" s="65"/>
      <c r="I94" s="65"/>
      <c r="J94" s="65"/>
      <c r="K94" s="65"/>
      <c r="L94" s="65"/>
      <c r="M94" s="65"/>
      <c r="N94" s="65"/>
      <c r="O94" s="65"/>
      <c r="P94" s="66">
        <f t="shared" si="1"/>
        <v>0</v>
      </c>
    </row>
    <row r="95" spans="1:16">
      <c r="A95" s="3">
        <v>93</v>
      </c>
      <c r="B95" s="3" t="s">
        <v>3</v>
      </c>
      <c r="C95" s="3"/>
      <c r="D95" s="64"/>
      <c r="E95" s="64"/>
      <c r="F95" s="64"/>
      <c r="G95" s="64"/>
      <c r="H95" s="65"/>
      <c r="I95" s="65"/>
      <c r="J95" s="65"/>
      <c r="K95" s="65"/>
      <c r="L95" s="65"/>
      <c r="M95" s="65"/>
      <c r="N95" s="65"/>
      <c r="O95" s="65"/>
      <c r="P95" s="66">
        <f t="shared" si="1"/>
        <v>0</v>
      </c>
    </row>
    <row r="96" spans="1:16">
      <c r="A96" s="3">
        <v>94</v>
      </c>
      <c r="B96" s="3" t="s">
        <v>3</v>
      </c>
      <c r="C96" s="3"/>
      <c r="D96" s="64"/>
      <c r="E96" s="64"/>
      <c r="F96" s="64"/>
      <c r="G96" s="64"/>
      <c r="H96" s="65"/>
      <c r="I96" s="65"/>
      <c r="J96" s="65"/>
      <c r="K96" s="65"/>
      <c r="L96" s="65"/>
      <c r="M96" s="65"/>
      <c r="N96" s="65"/>
      <c r="O96" s="65"/>
      <c r="P96" s="66">
        <f t="shared" si="1"/>
        <v>0</v>
      </c>
    </row>
    <row r="97" spans="1:16">
      <c r="A97" s="3">
        <v>95</v>
      </c>
      <c r="B97" s="3" t="s">
        <v>3</v>
      </c>
      <c r="C97" s="3"/>
      <c r="D97" s="64"/>
      <c r="E97" s="64"/>
      <c r="F97" s="64"/>
      <c r="G97" s="64"/>
      <c r="H97" s="65"/>
      <c r="I97" s="65"/>
      <c r="J97" s="65"/>
      <c r="K97" s="65"/>
      <c r="L97" s="65"/>
      <c r="M97" s="65"/>
      <c r="N97" s="65"/>
      <c r="O97" s="65"/>
      <c r="P97" s="66">
        <f t="shared" si="1"/>
        <v>0</v>
      </c>
    </row>
    <row r="98" spans="1:16"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6"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6"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6"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6"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6"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6"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6"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6"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6"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6"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6"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6"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6"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6"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="59" customFormat="1"/>
    <row r="114" s="59" customFormat="1"/>
    <row r="115" s="59" customFormat="1"/>
    <row r="116" s="59" customFormat="1"/>
    <row r="117" s="59" customFormat="1"/>
    <row r="118" s="59" customFormat="1"/>
    <row r="119" s="59" customFormat="1"/>
    <row r="120" s="59" customFormat="1"/>
    <row r="121" s="59" customFormat="1"/>
    <row r="122" s="59" customFormat="1"/>
    <row r="123" s="59" customFormat="1"/>
    <row r="124" s="59" customFormat="1"/>
    <row r="125" s="59" customFormat="1"/>
    <row r="126" s="59" customFormat="1"/>
    <row r="127" s="59" customFormat="1"/>
    <row r="128" s="59" customFormat="1"/>
    <row r="129" s="59" customFormat="1"/>
    <row r="130" s="59" customFormat="1"/>
    <row r="131" s="59" customFormat="1"/>
    <row r="132" s="59" customFormat="1"/>
    <row r="133" s="59" customFormat="1"/>
    <row r="134" s="59" customFormat="1"/>
    <row r="135" s="59" customFormat="1"/>
    <row r="136" s="59" customFormat="1"/>
    <row r="137" s="59" customFormat="1"/>
    <row r="138" s="59" customFormat="1"/>
    <row r="139" s="59" customFormat="1"/>
    <row r="140" s="59" customFormat="1"/>
    <row r="141" s="59" customFormat="1"/>
    <row r="142" s="59" customFormat="1"/>
    <row r="143" s="59" customFormat="1"/>
    <row r="144" s="59" customFormat="1"/>
    <row r="145" s="59" customFormat="1"/>
    <row r="146" s="59" customFormat="1"/>
    <row r="147" s="59" customFormat="1"/>
    <row r="148" s="59" customFormat="1"/>
    <row r="149" s="59" customFormat="1"/>
    <row r="150" s="59" customFormat="1"/>
    <row r="151" s="59" customFormat="1"/>
    <row r="152" s="59" customFormat="1"/>
    <row r="153" s="59" customFormat="1"/>
    <row r="154" s="59" customFormat="1"/>
    <row r="155" s="59" customFormat="1"/>
    <row r="156" s="59" customFormat="1"/>
    <row r="157" s="59" customFormat="1"/>
    <row r="158" s="59" customFormat="1"/>
    <row r="159" s="59" customFormat="1"/>
    <row r="160" s="59" customFormat="1"/>
    <row r="161" s="59" customFormat="1"/>
    <row r="162" s="59" customFormat="1"/>
    <row r="163" s="59" customFormat="1"/>
    <row r="164" s="59" customFormat="1"/>
    <row r="165" s="59" customFormat="1"/>
    <row r="166" s="59" customFormat="1"/>
    <row r="167" s="59" customFormat="1"/>
    <row r="168" s="59" customFormat="1"/>
    <row r="169" s="59" customFormat="1"/>
    <row r="170" s="59" customFormat="1"/>
    <row r="171" s="59" customFormat="1"/>
    <row r="172" s="59" customFormat="1"/>
    <row r="173" s="59" customFormat="1"/>
    <row r="174" s="59" customFormat="1"/>
    <row r="175" s="59" customFormat="1"/>
    <row r="176" s="59" customFormat="1"/>
    <row r="177" s="59" customFormat="1"/>
    <row r="178" s="59" customFormat="1"/>
    <row r="179" s="59" customFormat="1"/>
    <row r="180" s="59" customFormat="1"/>
    <row r="181" s="59" customFormat="1"/>
    <row r="182" s="59" customFormat="1"/>
    <row r="183" s="59" customFormat="1"/>
    <row r="184" s="59" customFormat="1"/>
    <row r="185" s="59" customFormat="1"/>
    <row r="186" s="59" customFormat="1"/>
    <row r="187" s="59" customFormat="1"/>
    <row r="188" s="59" customFormat="1"/>
    <row r="189" s="59" customFormat="1"/>
    <row r="190" s="59" customFormat="1"/>
    <row r="191" s="59" customFormat="1"/>
    <row r="192" s="59" customFormat="1"/>
    <row r="193" s="59" customFormat="1"/>
    <row r="194" s="59" customFormat="1"/>
    <row r="195" s="59" customFormat="1"/>
    <row r="196" s="59" customFormat="1"/>
    <row r="197" s="59" customFormat="1"/>
    <row r="198" s="59" customFormat="1"/>
    <row r="199" s="59" customFormat="1"/>
    <row r="200" s="59" customFormat="1"/>
    <row r="201" s="59" customFormat="1"/>
    <row r="202" s="59" customFormat="1"/>
    <row r="203" s="59" customFormat="1"/>
    <row r="204" s="59" customFormat="1"/>
    <row r="205" s="59" customFormat="1"/>
    <row r="206" s="59" customFormat="1"/>
    <row r="207" s="59" customFormat="1"/>
    <row r="208" s="59" customFormat="1"/>
    <row r="209" s="59" customFormat="1"/>
    <row r="210" s="59" customFormat="1"/>
    <row r="211" s="59" customFormat="1"/>
    <row r="212" s="59" customFormat="1"/>
    <row r="213" s="59" customFormat="1"/>
    <row r="214" s="59" customFormat="1"/>
    <row r="215" s="59" customFormat="1"/>
    <row r="216" s="59" customFormat="1"/>
    <row r="217" s="59" customFormat="1"/>
    <row r="218" s="59" customFormat="1"/>
    <row r="219" s="59" customFormat="1"/>
    <row r="220" s="59" customFormat="1"/>
    <row r="221" s="59" customFormat="1"/>
    <row r="222" s="59" customFormat="1"/>
    <row r="223" s="59" customFormat="1"/>
    <row r="224" s="59" customFormat="1"/>
    <row r="225" s="59" customFormat="1"/>
    <row r="226" s="59" customFormat="1"/>
    <row r="227" s="59" customFormat="1"/>
    <row r="228" s="59" customFormat="1"/>
    <row r="229" s="59" customFormat="1"/>
    <row r="230" s="59" customFormat="1"/>
    <row r="231" s="59" customFormat="1"/>
    <row r="232" s="59" customFormat="1"/>
    <row r="233" s="59" customFormat="1"/>
    <row r="234" s="59" customFormat="1"/>
    <row r="235" s="59" customFormat="1"/>
    <row r="236" s="59" customFormat="1"/>
    <row r="237" s="59" customFormat="1"/>
    <row r="238" s="59" customFormat="1"/>
    <row r="239" s="59" customFormat="1"/>
    <row r="240" s="59" customFormat="1"/>
    <row r="241" s="59" customFormat="1"/>
    <row r="242" s="59" customFormat="1"/>
    <row r="243" s="59" customFormat="1"/>
    <row r="244" s="59" customFormat="1"/>
    <row r="245" s="59" customFormat="1"/>
    <row r="246" s="59" customFormat="1"/>
    <row r="247" s="59" customFormat="1"/>
    <row r="248" s="59" customFormat="1"/>
    <row r="249" s="59" customFormat="1"/>
    <row r="250" s="59" customFormat="1"/>
    <row r="251" s="59" customFormat="1"/>
    <row r="252" s="59" customFormat="1"/>
    <row r="253" s="59" customFormat="1"/>
    <row r="254" s="59" customFormat="1"/>
    <row r="255" s="59" customFormat="1"/>
    <row r="256" s="59" customFormat="1"/>
    <row r="257" s="59" customFormat="1"/>
    <row r="258" s="59" customFormat="1"/>
    <row r="259" s="59" customFormat="1"/>
    <row r="260" s="59" customFormat="1"/>
    <row r="261" s="59" customFormat="1"/>
    <row r="262" s="59" customFormat="1"/>
    <row r="263" s="59" customFormat="1"/>
    <row r="264" s="59" customFormat="1"/>
    <row r="265" s="59" customFormat="1"/>
    <row r="266" s="59" customFormat="1"/>
    <row r="267" s="59" customFormat="1"/>
    <row r="268" s="59" customFormat="1"/>
    <row r="269" s="59" customFormat="1"/>
    <row r="270" s="59" customFormat="1"/>
    <row r="271" s="59" customFormat="1"/>
    <row r="272" s="59" customFormat="1"/>
    <row r="273" s="59" customFormat="1"/>
    <row r="274" s="59" customFormat="1"/>
    <row r="275" s="59" customFormat="1"/>
    <row r="276" s="59" customFormat="1"/>
    <row r="277" s="59" customFormat="1"/>
    <row r="278" s="59" customFormat="1"/>
    <row r="279" s="59" customFormat="1"/>
    <row r="280" s="59" customFormat="1"/>
    <row r="281" s="59" customFormat="1"/>
    <row r="282" s="59" customFormat="1"/>
    <row r="283" s="59" customFormat="1"/>
    <row r="284" s="59" customFormat="1"/>
    <row r="285" s="59" customFormat="1"/>
    <row r="286" s="59" customFormat="1"/>
    <row r="287" s="59" customFormat="1"/>
    <row r="288" s="59" customFormat="1"/>
    <row r="289" s="59" customFormat="1"/>
    <row r="290" s="59" customFormat="1"/>
    <row r="291" s="59" customFormat="1"/>
    <row r="292" s="59" customFormat="1"/>
    <row r="293" s="59" customFormat="1"/>
    <row r="294" s="59" customFormat="1"/>
    <row r="295" s="59" customFormat="1"/>
    <row r="296" s="59" customFormat="1"/>
    <row r="297" s="59" customFormat="1"/>
    <row r="298" s="59" customFormat="1"/>
    <row r="299" s="59" customFormat="1"/>
    <row r="300" s="59" customFormat="1"/>
    <row r="301" s="59" customFormat="1"/>
    <row r="302" s="59" customFormat="1"/>
    <row r="303" s="59" customFormat="1"/>
    <row r="304" s="59" customFormat="1"/>
    <row r="305" s="59" customFormat="1"/>
    <row r="306" s="59" customFormat="1"/>
    <row r="307" s="59" customFormat="1"/>
    <row r="308" s="59" customFormat="1"/>
    <row r="309" s="59" customFormat="1"/>
    <row r="310" s="59" customFormat="1"/>
    <row r="311" s="59" customFormat="1"/>
    <row r="312" s="59" customFormat="1"/>
    <row r="313" s="59" customFormat="1"/>
    <row r="314" s="59" customFormat="1"/>
    <row r="315" s="59" customFormat="1"/>
    <row r="316" s="59" customFormat="1"/>
    <row r="317" s="59" customFormat="1"/>
    <row r="318" s="59" customFormat="1"/>
    <row r="319" s="59" customFormat="1"/>
    <row r="320" s="59" customFormat="1"/>
    <row r="321" s="59" customFormat="1"/>
    <row r="322" s="59" customFormat="1"/>
    <row r="323" s="59" customFormat="1"/>
    <row r="324" s="59" customFormat="1"/>
    <row r="325" s="59" customFormat="1"/>
    <row r="326" s="59" customFormat="1"/>
    <row r="327" s="59" customFormat="1"/>
    <row r="328" s="59" customFormat="1"/>
    <row r="329" s="59" customFormat="1"/>
    <row r="330" s="59" customFormat="1"/>
    <row r="331" s="59" customFormat="1"/>
    <row r="332" s="59" customFormat="1"/>
    <row r="333" s="59" customFormat="1"/>
    <row r="334" s="59" customFormat="1"/>
    <row r="335" s="59" customFormat="1"/>
    <row r="336" s="59" customFormat="1"/>
    <row r="337" s="59" customFormat="1"/>
    <row r="338" s="59" customFormat="1"/>
    <row r="339" s="59" customFormat="1"/>
    <row r="340" s="59" customFormat="1"/>
    <row r="341" s="59" customFormat="1"/>
    <row r="342" s="59" customFormat="1"/>
    <row r="343" s="59" customFormat="1"/>
    <row r="344" s="59" customFormat="1"/>
    <row r="345" s="59" customFormat="1"/>
    <row r="346" s="59" customFormat="1"/>
    <row r="347" s="59" customFormat="1"/>
    <row r="348" s="59" customFormat="1"/>
    <row r="349" s="59" customFormat="1"/>
    <row r="350" s="59" customFormat="1"/>
    <row r="351" s="59" customFormat="1"/>
    <row r="352" s="59" customFormat="1"/>
    <row r="353" s="59" customForma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592-C933-4424-96AE-FD9EF1CBD940}">
  <dimension ref="A1:P353"/>
  <sheetViews>
    <sheetView workbookViewId="0">
      <selection activeCell="C3" sqref="C3:C97"/>
    </sheetView>
  </sheetViews>
  <sheetFormatPr defaultRowHeight="16"/>
  <cols>
    <col min="1" max="1" width="7.6328125" style="43" customWidth="1"/>
    <col min="2" max="2" width="9.36328125" style="43" customWidth="1"/>
    <col min="3" max="3" width="15.1796875" style="43" customWidth="1"/>
    <col min="4" max="15" width="8.7265625" style="43"/>
    <col min="16" max="16" width="9.1796875" style="59" bestFit="1" customWidth="1"/>
    <col min="17" max="16384" width="8.7265625" style="43"/>
  </cols>
  <sheetData>
    <row r="1" spans="1:16">
      <c r="A1" s="42" t="s">
        <v>304</v>
      </c>
    </row>
    <row r="2" spans="1:16" ht="24.5" customHeight="1">
      <c r="A2" s="55" t="s">
        <v>45</v>
      </c>
      <c r="B2" s="60" t="s">
        <v>5</v>
      </c>
      <c r="C2" s="55" t="s">
        <v>46</v>
      </c>
      <c r="D2" s="61" t="s">
        <v>42</v>
      </c>
      <c r="E2" s="62" t="s">
        <v>43</v>
      </c>
      <c r="F2" s="62" t="s">
        <v>47</v>
      </c>
      <c r="G2" s="62" t="s">
        <v>48</v>
      </c>
      <c r="H2" s="62" t="s">
        <v>144</v>
      </c>
      <c r="I2" s="62" t="s">
        <v>145</v>
      </c>
      <c r="J2" s="62" t="s">
        <v>146</v>
      </c>
      <c r="K2" s="62" t="s">
        <v>147</v>
      </c>
      <c r="L2" s="62" t="s">
        <v>148</v>
      </c>
      <c r="M2" s="62" t="s">
        <v>149</v>
      </c>
      <c r="N2" s="62" t="s">
        <v>150</v>
      </c>
      <c r="O2" s="62" t="s">
        <v>151</v>
      </c>
      <c r="P2" s="63" t="s">
        <v>0</v>
      </c>
    </row>
    <row r="3" spans="1:16" ht="19" customHeight="1">
      <c r="A3" s="3">
        <v>1</v>
      </c>
      <c r="B3" s="3" t="s">
        <v>4</v>
      </c>
      <c r="C3" s="3"/>
      <c r="D3" s="64"/>
      <c r="E3" s="64"/>
      <c r="F3" s="64"/>
      <c r="G3" s="64"/>
      <c r="H3" s="65"/>
      <c r="I3" s="65"/>
      <c r="J3" s="65"/>
      <c r="K3" s="65"/>
      <c r="L3" s="65"/>
      <c r="M3" s="65"/>
      <c r="N3" s="65"/>
      <c r="O3" s="65"/>
      <c r="P3" s="66">
        <f>SUM(D3:O3)</f>
        <v>0</v>
      </c>
    </row>
    <row r="4" spans="1:16">
      <c r="A4" s="3">
        <v>2</v>
      </c>
      <c r="B4" s="3" t="s">
        <v>4</v>
      </c>
      <c r="C4" s="3"/>
      <c r="D4" s="64"/>
      <c r="E4" s="64"/>
      <c r="F4" s="64"/>
      <c r="G4" s="64"/>
      <c r="H4" s="65"/>
      <c r="I4" s="65"/>
      <c r="J4" s="65"/>
      <c r="K4" s="65"/>
      <c r="L4" s="65"/>
      <c r="M4" s="65"/>
      <c r="N4" s="65"/>
      <c r="O4" s="65"/>
      <c r="P4" s="66">
        <f t="shared" ref="P4:P67" si="0">SUM(D4:O4)</f>
        <v>0</v>
      </c>
    </row>
    <row r="5" spans="1:16">
      <c r="A5" s="3">
        <v>3</v>
      </c>
      <c r="B5" s="3" t="s">
        <v>4</v>
      </c>
      <c r="C5" s="3"/>
      <c r="D5" s="64"/>
      <c r="E5" s="64"/>
      <c r="F5" s="64"/>
      <c r="G5" s="64"/>
      <c r="H5" s="65"/>
      <c r="I5" s="65"/>
      <c r="J5" s="65"/>
      <c r="K5" s="65"/>
      <c r="L5" s="65"/>
      <c r="M5" s="65"/>
      <c r="N5" s="65"/>
      <c r="O5" s="65"/>
      <c r="P5" s="66">
        <f t="shared" si="0"/>
        <v>0</v>
      </c>
    </row>
    <row r="6" spans="1:16">
      <c r="A6" s="3">
        <v>4</v>
      </c>
      <c r="B6" s="3" t="s">
        <v>4</v>
      </c>
      <c r="C6" s="3"/>
      <c r="D6" s="64"/>
      <c r="E6" s="64"/>
      <c r="F6" s="64"/>
      <c r="G6" s="64"/>
      <c r="H6" s="65"/>
      <c r="I6" s="65"/>
      <c r="J6" s="65"/>
      <c r="K6" s="65"/>
      <c r="L6" s="65"/>
      <c r="M6" s="65"/>
      <c r="N6" s="65"/>
      <c r="O6" s="65"/>
      <c r="P6" s="66">
        <f t="shared" si="0"/>
        <v>0</v>
      </c>
    </row>
    <row r="7" spans="1:16">
      <c r="A7" s="3">
        <v>5</v>
      </c>
      <c r="B7" s="3" t="s">
        <v>4</v>
      </c>
      <c r="C7" s="3"/>
      <c r="D7" s="64"/>
      <c r="E7" s="64"/>
      <c r="F7" s="64"/>
      <c r="G7" s="64"/>
      <c r="H7" s="65"/>
      <c r="I7" s="65"/>
      <c r="J7" s="65"/>
      <c r="K7" s="65"/>
      <c r="L7" s="65"/>
      <c r="M7" s="65"/>
      <c r="N7" s="65"/>
      <c r="O7" s="65"/>
      <c r="P7" s="66">
        <f t="shared" si="0"/>
        <v>0</v>
      </c>
    </row>
    <row r="8" spans="1:16">
      <c r="A8" s="3">
        <v>6</v>
      </c>
      <c r="B8" s="3" t="s">
        <v>4</v>
      </c>
      <c r="C8" s="3"/>
      <c r="D8" s="64"/>
      <c r="E8" s="64"/>
      <c r="F8" s="64"/>
      <c r="G8" s="64"/>
      <c r="H8" s="65"/>
      <c r="I8" s="65"/>
      <c r="J8" s="65"/>
      <c r="K8" s="65"/>
      <c r="L8" s="65"/>
      <c r="M8" s="65"/>
      <c r="N8" s="65"/>
      <c r="O8" s="65"/>
      <c r="P8" s="66">
        <f t="shared" si="0"/>
        <v>0</v>
      </c>
    </row>
    <row r="9" spans="1:16">
      <c r="A9" s="3">
        <v>7</v>
      </c>
      <c r="B9" s="3" t="s">
        <v>4</v>
      </c>
      <c r="C9" s="3"/>
      <c r="D9" s="64"/>
      <c r="E9" s="64"/>
      <c r="F9" s="64"/>
      <c r="G9" s="64"/>
      <c r="H9" s="65"/>
      <c r="I9" s="65"/>
      <c r="J9" s="65"/>
      <c r="K9" s="65"/>
      <c r="L9" s="65"/>
      <c r="M9" s="65"/>
      <c r="N9" s="65"/>
      <c r="O9" s="65"/>
      <c r="P9" s="66">
        <f t="shared" si="0"/>
        <v>0</v>
      </c>
    </row>
    <row r="10" spans="1:16">
      <c r="A10" s="3">
        <v>8</v>
      </c>
      <c r="B10" s="3" t="s">
        <v>4</v>
      </c>
      <c r="C10" s="3"/>
      <c r="D10" s="64"/>
      <c r="E10" s="64"/>
      <c r="F10" s="64"/>
      <c r="G10" s="64"/>
      <c r="H10" s="65"/>
      <c r="I10" s="65"/>
      <c r="J10" s="65"/>
      <c r="K10" s="65"/>
      <c r="L10" s="65"/>
      <c r="M10" s="65"/>
      <c r="N10" s="65"/>
      <c r="O10" s="65"/>
      <c r="P10" s="66">
        <f t="shared" si="0"/>
        <v>0</v>
      </c>
    </row>
    <row r="11" spans="1:16">
      <c r="A11" s="3">
        <v>9</v>
      </c>
      <c r="B11" s="3" t="s">
        <v>4</v>
      </c>
      <c r="C11" s="3"/>
      <c r="D11" s="64"/>
      <c r="E11" s="64"/>
      <c r="F11" s="64"/>
      <c r="G11" s="64"/>
      <c r="H11" s="65"/>
      <c r="I11" s="65"/>
      <c r="J11" s="65"/>
      <c r="K11" s="65"/>
      <c r="L11" s="65"/>
      <c r="M11" s="65"/>
      <c r="N11" s="65"/>
      <c r="O11" s="65"/>
      <c r="P11" s="66">
        <f t="shared" si="0"/>
        <v>0</v>
      </c>
    </row>
    <row r="12" spans="1:16">
      <c r="A12" s="3">
        <v>10</v>
      </c>
      <c r="B12" s="3" t="s">
        <v>4</v>
      </c>
      <c r="C12" s="3"/>
      <c r="D12" s="64"/>
      <c r="E12" s="64"/>
      <c r="F12" s="64"/>
      <c r="G12" s="64"/>
      <c r="H12" s="65"/>
      <c r="I12" s="65"/>
      <c r="J12" s="65"/>
      <c r="K12" s="65"/>
      <c r="L12" s="65"/>
      <c r="M12" s="65"/>
      <c r="N12" s="65"/>
      <c r="O12" s="65"/>
      <c r="P12" s="66">
        <f t="shared" si="0"/>
        <v>0</v>
      </c>
    </row>
    <row r="13" spans="1:16">
      <c r="A13" s="3">
        <v>11</v>
      </c>
      <c r="B13" s="3" t="s">
        <v>4</v>
      </c>
      <c r="C13" s="3"/>
      <c r="D13" s="64"/>
      <c r="E13" s="64"/>
      <c r="F13" s="64"/>
      <c r="G13" s="64"/>
      <c r="H13" s="65"/>
      <c r="I13" s="65"/>
      <c r="J13" s="65"/>
      <c r="K13" s="65"/>
      <c r="L13" s="65"/>
      <c r="M13" s="65"/>
      <c r="N13" s="65"/>
      <c r="O13" s="65"/>
      <c r="P13" s="66">
        <f t="shared" si="0"/>
        <v>0</v>
      </c>
    </row>
    <row r="14" spans="1:16">
      <c r="A14" s="3">
        <v>12</v>
      </c>
      <c r="B14" s="3" t="s">
        <v>4</v>
      </c>
      <c r="C14" s="3"/>
      <c r="D14" s="64"/>
      <c r="E14" s="64"/>
      <c r="F14" s="64"/>
      <c r="G14" s="64"/>
      <c r="H14" s="65"/>
      <c r="I14" s="65"/>
      <c r="J14" s="65"/>
      <c r="K14" s="65"/>
      <c r="L14" s="65"/>
      <c r="M14" s="65"/>
      <c r="N14" s="65"/>
      <c r="O14" s="65"/>
      <c r="P14" s="66">
        <f t="shared" si="0"/>
        <v>0</v>
      </c>
    </row>
    <row r="15" spans="1:16">
      <c r="A15" s="3">
        <v>13</v>
      </c>
      <c r="B15" s="3" t="s">
        <v>4</v>
      </c>
      <c r="C15" s="3"/>
      <c r="D15" s="64"/>
      <c r="E15" s="64"/>
      <c r="F15" s="64"/>
      <c r="G15" s="64"/>
      <c r="H15" s="65"/>
      <c r="I15" s="65"/>
      <c r="J15" s="65"/>
      <c r="K15" s="65"/>
      <c r="L15" s="65"/>
      <c r="M15" s="65"/>
      <c r="N15" s="65"/>
      <c r="O15" s="65"/>
      <c r="P15" s="66">
        <f t="shared" si="0"/>
        <v>0</v>
      </c>
    </row>
    <row r="16" spans="1:16">
      <c r="A16" s="3">
        <v>14</v>
      </c>
      <c r="B16" s="3" t="s">
        <v>4</v>
      </c>
      <c r="C16" s="3"/>
      <c r="D16" s="64"/>
      <c r="E16" s="64"/>
      <c r="F16" s="64"/>
      <c r="G16" s="64"/>
      <c r="H16" s="65"/>
      <c r="I16" s="65"/>
      <c r="J16" s="65"/>
      <c r="K16" s="65"/>
      <c r="L16" s="65"/>
      <c r="M16" s="65"/>
      <c r="N16" s="65"/>
      <c r="O16" s="65"/>
      <c r="P16" s="66">
        <f t="shared" si="0"/>
        <v>0</v>
      </c>
    </row>
    <row r="17" spans="1:16">
      <c r="A17" s="3">
        <v>15</v>
      </c>
      <c r="B17" s="3" t="s">
        <v>4</v>
      </c>
      <c r="C17" s="3"/>
      <c r="D17" s="64"/>
      <c r="E17" s="64"/>
      <c r="F17" s="64"/>
      <c r="G17" s="64"/>
      <c r="H17" s="65"/>
      <c r="I17" s="65"/>
      <c r="J17" s="65"/>
      <c r="K17" s="65"/>
      <c r="L17" s="65"/>
      <c r="M17" s="65"/>
      <c r="N17" s="65"/>
      <c r="O17" s="65"/>
      <c r="P17" s="66">
        <f t="shared" si="0"/>
        <v>0</v>
      </c>
    </row>
    <row r="18" spans="1:16">
      <c r="A18" s="3">
        <v>16</v>
      </c>
      <c r="B18" s="3" t="s">
        <v>4</v>
      </c>
      <c r="C18" s="3"/>
      <c r="D18" s="64"/>
      <c r="E18" s="64"/>
      <c r="F18" s="64"/>
      <c r="G18" s="64"/>
      <c r="H18" s="65"/>
      <c r="I18" s="65"/>
      <c r="J18" s="65"/>
      <c r="K18" s="65"/>
      <c r="L18" s="65"/>
      <c r="M18" s="65"/>
      <c r="N18" s="65"/>
      <c r="O18" s="65"/>
      <c r="P18" s="66">
        <f t="shared" si="0"/>
        <v>0</v>
      </c>
    </row>
    <row r="19" spans="1:16">
      <c r="A19" s="3">
        <v>17</v>
      </c>
      <c r="B19" s="3" t="s">
        <v>4</v>
      </c>
      <c r="C19" s="3"/>
      <c r="D19" s="64"/>
      <c r="E19" s="64"/>
      <c r="F19" s="64"/>
      <c r="G19" s="64"/>
      <c r="H19" s="65"/>
      <c r="I19" s="65"/>
      <c r="J19" s="65"/>
      <c r="K19" s="65"/>
      <c r="L19" s="65"/>
      <c r="M19" s="65"/>
      <c r="N19" s="65"/>
      <c r="O19" s="65"/>
      <c r="P19" s="66">
        <f t="shared" si="0"/>
        <v>0</v>
      </c>
    </row>
    <row r="20" spans="1:16">
      <c r="A20" s="3">
        <v>18</v>
      </c>
      <c r="B20" s="3" t="s">
        <v>4</v>
      </c>
      <c r="C20" s="3"/>
      <c r="D20" s="64"/>
      <c r="E20" s="64"/>
      <c r="F20" s="64"/>
      <c r="G20" s="64"/>
      <c r="H20" s="65"/>
      <c r="I20" s="65"/>
      <c r="J20" s="65"/>
      <c r="K20" s="65"/>
      <c r="L20" s="65"/>
      <c r="M20" s="65"/>
      <c r="N20" s="65"/>
      <c r="O20" s="65"/>
      <c r="P20" s="66">
        <f t="shared" si="0"/>
        <v>0</v>
      </c>
    </row>
    <row r="21" spans="1:16">
      <c r="A21" s="3">
        <v>19</v>
      </c>
      <c r="B21" s="3" t="s">
        <v>4</v>
      </c>
      <c r="C21" s="3"/>
      <c r="D21" s="64"/>
      <c r="E21" s="64"/>
      <c r="F21" s="64"/>
      <c r="G21" s="64"/>
      <c r="H21" s="65"/>
      <c r="I21" s="65"/>
      <c r="J21" s="65"/>
      <c r="K21" s="65"/>
      <c r="L21" s="65"/>
      <c r="M21" s="65"/>
      <c r="N21" s="65"/>
      <c r="O21" s="65"/>
      <c r="P21" s="66">
        <f t="shared" si="0"/>
        <v>0</v>
      </c>
    </row>
    <row r="22" spans="1:16">
      <c r="A22" s="3">
        <v>20</v>
      </c>
      <c r="B22" s="3" t="s">
        <v>4</v>
      </c>
      <c r="C22" s="3"/>
      <c r="D22" s="64"/>
      <c r="E22" s="64"/>
      <c r="F22" s="64"/>
      <c r="G22" s="64"/>
      <c r="H22" s="65"/>
      <c r="I22" s="65"/>
      <c r="J22" s="65"/>
      <c r="K22" s="65"/>
      <c r="L22" s="65"/>
      <c r="M22" s="65"/>
      <c r="N22" s="65"/>
      <c r="O22" s="65"/>
      <c r="P22" s="66">
        <f t="shared" si="0"/>
        <v>0</v>
      </c>
    </row>
    <row r="23" spans="1:16">
      <c r="A23" s="3">
        <v>21</v>
      </c>
      <c r="B23" s="3" t="s">
        <v>4</v>
      </c>
      <c r="C23" s="3"/>
      <c r="D23" s="64"/>
      <c r="E23" s="64"/>
      <c r="F23" s="64"/>
      <c r="G23" s="64"/>
      <c r="H23" s="65"/>
      <c r="I23" s="65"/>
      <c r="J23" s="65"/>
      <c r="K23" s="65"/>
      <c r="L23" s="65"/>
      <c r="M23" s="65"/>
      <c r="N23" s="65"/>
      <c r="O23" s="65"/>
      <c r="P23" s="66">
        <f t="shared" si="0"/>
        <v>0</v>
      </c>
    </row>
    <row r="24" spans="1:16">
      <c r="A24" s="3">
        <v>22</v>
      </c>
      <c r="B24" s="3" t="s">
        <v>4</v>
      </c>
      <c r="C24" s="3"/>
      <c r="D24" s="64"/>
      <c r="E24" s="64"/>
      <c r="F24" s="64"/>
      <c r="G24" s="64"/>
      <c r="H24" s="65"/>
      <c r="I24" s="65"/>
      <c r="J24" s="65"/>
      <c r="K24" s="65"/>
      <c r="L24" s="65"/>
      <c r="M24" s="65"/>
      <c r="N24" s="65"/>
      <c r="O24" s="65"/>
      <c r="P24" s="66">
        <f t="shared" si="0"/>
        <v>0</v>
      </c>
    </row>
    <row r="25" spans="1:16">
      <c r="A25" s="3">
        <v>23</v>
      </c>
      <c r="B25" s="3" t="s">
        <v>4</v>
      </c>
      <c r="C25" s="3"/>
      <c r="D25" s="64"/>
      <c r="E25" s="64"/>
      <c r="F25" s="64"/>
      <c r="G25" s="64"/>
      <c r="H25" s="65"/>
      <c r="I25" s="65"/>
      <c r="J25" s="65"/>
      <c r="K25" s="65"/>
      <c r="L25" s="65"/>
      <c r="M25" s="65"/>
      <c r="N25" s="65"/>
      <c r="O25" s="65"/>
      <c r="P25" s="66">
        <f t="shared" si="0"/>
        <v>0</v>
      </c>
    </row>
    <row r="26" spans="1:16">
      <c r="A26" s="3">
        <v>24</v>
      </c>
      <c r="B26" s="3" t="s">
        <v>4</v>
      </c>
      <c r="C26" s="3"/>
      <c r="D26" s="64"/>
      <c r="E26" s="64"/>
      <c r="F26" s="64"/>
      <c r="G26" s="64"/>
      <c r="H26" s="65"/>
      <c r="I26" s="65"/>
      <c r="J26" s="65"/>
      <c r="K26" s="65"/>
      <c r="L26" s="65"/>
      <c r="M26" s="65"/>
      <c r="N26" s="65"/>
      <c r="O26" s="65"/>
      <c r="P26" s="66">
        <f t="shared" si="0"/>
        <v>0</v>
      </c>
    </row>
    <row r="27" spans="1:16">
      <c r="A27" s="3">
        <v>25</v>
      </c>
      <c r="B27" s="3" t="s">
        <v>4</v>
      </c>
      <c r="C27" s="3"/>
      <c r="D27" s="64"/>
      <c r="E27" s="64"/>
      <c r="F27" s="64"/>
      <c r="G27" s="64"/>
      <c r="H27" s="65"/>
      <c r="I27" s="65"/>
      <c r="J27" s="65"/>
      <c r="K27" s="65"/>
      <c r="L27" s="65"/>
      <c r="M27" s="65"/>
      <c r="N27" s="65"/>
      <c r="O27" s="65"/>
      <c r="P27" s="66">
        <f t="shared" si="0"/>
        <v>0</v>
      </c>
    </row>
    <row r="28" spans="1:16">
      <c r="A28" s="3">
        <v>26</v>
      </c>
      <c r="B28" s="3" t="s">
        <v>4</v>
      </c>
      <c r="C28" s="3"/>
      <c r="D28" s="64"/>
      <c r="E28" s="64"/>
      <c r="F28" s="64"/>
      <c r="G28" s="64"/>
      <c r="H28" s="65"/>
      <c r="I28" s="65"/>
      <c r="J28" s="65"/>
      <c r="K28" s="65"/>
      <c r="L28" s="65"/>
      <c r="M28" s="65"/>
      <c r="N28" s="65"/>
      <c r="O28" s="65"/>
      <c r="P28" s="66">
        <f t="shared" si="0"/>
        <v>0</v>
      </c>
    </row>
    <row r="29" spans="1:16">
      <c r="A29" s="3">
        <v>27</v>
      </c>
      <c r="B29" s="3" t="s">
        <v>4</v>
      </c>
      <c r="C29" s="3"/>
      <c r="D29" s="64"/>
      <c r="E29" s="64"/>
      <c r="F29" s="64"/>
      <c r="G29" s="64"/>
      <c r="H29" s="65"/>
      <c r="I29" s="65"/>
      <c r="J29" s="65"/>
      <c r="K29" s="65"/>
      <c r="L29" s="65"/>
      <c r="M29" s="65"/>
      <c r="N29" s="65"/>
      <c r="O29" s="65"/>
      <c r="P29" s="66">
        <f t="shared" si="0"/>
        <v>0</v>
      </c>
    </row>
    <row r="30" spans="1:16">
      <c r="A30" s="3">
        <v>28</v>
      </c>
      <c r="B30" s="3" t="s">
        <v>4</v>
      </c>
      <c r="C30" s="3"/>
      <c r="D30" s="64"/>
      <c r="E30" s="64"/>
      <c r="F30" s="64"/>
      <c r="G30" s="64"/>
      <c r="H30" s="65"/>
      <c r="I30" s="65"/>
      <c r="J30" s="65"/>
      <c r="K30" s="65"/>
      <c r="L30" s="65"/>
      <c r="M30" s="65"/>
      <c r="N30" s="65"/>
      <c r="O30" s="65"/>
      <c r="P30" s="66">
        <f t="shared" si="0"/>
        <v>0</v>
      </c>
    </row>
    <row r="31" spans="1:16">
      <c r="A31" s="3">
        <v>29</v>
      </c>
      <c r="B31" s="3" t="s">
        <v>4</v>
      </c>
      <c r="C31" s="3"/>
      <c r="D31" s="64"/>
      <c r="E31" s="64"/>
      <c r="F31" s="64"/>
      <c r="G31" s="64"/>
      <c r="H31" s="65"/>
      <c r="I31" s="65"/>
      <c r="J31" s="65"/>
      <c r="K31" s="65"/>
      <c r="L31" s="65"/>
      <c r="M31" s="65"/>
      <c r="N31" s="65"/>
      <c r="O31" s="65"/>
      <c r="P31" s="66">
        <f t="shared" si="0"/>
        <v>0</v>
      </c>
    </row>
    <row r="32" spans="1:16">
      <c r="A32" s="3">
        <v>30</v>
      </c>
      <c r="B32" s="3" t="s">
        <v>4</v>
      </c>
      <c r="C32" s="3"/>
      <c r="D32" s="64"/>
      <c r="E32" s="64"/>
      <c r="F32" s="64"/>
      <c r="G32" s="64"/>
      <c r="H32" s="65"/>
      <c r="I32" s="65"/>
      <c r="J32" s="65"/>
      <c r="K32" s="65"/>
      <c r="L32" s="65"/>
      <c r="M32" s="65"/>
      <c r="N32" s="65"/>
      <c r="O32" s="65"/>
      <c r="P32" s="66">
        <f t="shared" si="0"/>
        <v>0</v>
      </c>
    </row>
    <row r="33" spans="1:16">
      <c r="A33" s="3">
        <v>31</v>
      </c>
      <c r="B33" s="3" t="s">
        <v>4</v>
      </c>
      <c r="C33" s="3"/>
      <c r="D33" s="64"/>
      <c r="E33" s="64"/>
      <c r="F33" s="64"/>
      <c r="G33" s="64"/>
      <c r="H33" s="65"/>
      <c r="I33" s="65"/>
      <c r="J33" s="65"/>
      <c r="K33" s="65"/>
      <c r="L33" s="65"/>
      <c r="M33" s="65"/>
      <c r="N33" s="65"/>
      <c r="O33" s="65"/>
      <c r="P33" s="66">
        <f t="shared" si="0"/>
        <v>0</v>
      </c>
    </row>
    <row r="34" spans="1:16">
      <c r="A34" s="3">
        <v>32</v>
      </c>
      <c r="B34" s="3" t="s">
        <v>4</v>
      </c>
      <c r="C34" s="3"/>
      <c r="D34" s="64"/>
      <c r="E34" s="64"/>
      <c r="F34" s="64"/>
      <c r="G34" s="64"/>
      <c r="H34" s="65"/>
      <c r="I34" s="65"/>
      <c r="J34" s="65"/>
      <c r="K34" s="65"/>
      <c r="L34" s="65"/>
      <c r="M34" s="65"/>
      <c r="N34" s="65"/>
      <c r="O34" s="65"/>
      <c r="P34" s="66">
        <f t="shared" si="0"/>
        <v>0</v>
      </c>
    </row>
    <row r="35" spans="1:16">
      <c r="A35" s="3">
        <v>33</v>
      </c>
      <c r="B35" s="3" t="s">
        <v>4</v>
      </c>
      <c r="C35" s="3"/>
      <c r="D35" s="64"/>
      <c r="E35" s="64"/>
      <c r="F35" s="64"/>
      <c r="G35" s="64"/>
      <c r="H35" s="65"/>
      <c r="I35" s="65"/>
      <c r="J35" s="65"/>
      <c r="K35" s="65"/>
      <c r="L35" s="65"/>
      <c r="M35" s="65"/>
      <c r="N35" s="65"/>
      <c r="O35" s="65"/>
      <c r="P35" s="66">
        <f t="shared" si="0"/>
        <v>0</v>
      </c>
    </row>
    <row r="36" spans="1:16">
      <c r="A36" s="3">
        <v>34</v>
      </c>
      <c r="B36" s="3" t="s">
        <v>4</v>
      </c>
      <c r="C36" s="3"/>
      <c r="D36" s="64"/>
      <c r="E36" s="64"/>
      <c r="F36" s="64"/>
      <c r="G36" s="64"/>
      <c r="H36" s="65"/>
      <c r="I36" s="65"/>
      <c r="J36" s="65"/>
      <c r="K36" s="65"/>
      <c r="L36" s="65"/>
      <c r="M36" s="65"/>
      <c r="N36" s="65"/>
      <c r="O36" s="65"/>
      <c r="P36" s="66">
        <f t="shared" si="0"/>
        <v>0</v>
      </c>
    </row>
    <row r="37" spans="1:16">
      <c r="A37" s="3">
        <v>35</v>
      </c>
      <c r="B37" s="3" t="s">
        <v>4</v>
      </c>
      <c r="C37" s="3"/>
      <c r="D37" s="64"/>
      <c r="E37" s="64"/>
      <c r="F37" s="64"/>
      <c r="G37" s="64"/>
      <c r="H37" s="65"/>
      <c r="I37" s="65"/>
      <c r="J37" s="65"/>
      <c r="K37" s="65"/>
      <c r="L37" s="65"/>
      <c r="M37" s="65"/>
      <c r="N37" s="65"/>
      <c r="O37" s="65"/>
      <c r="P37" s="66">
        <f t="shared" si="0"/>
        <v>0</v>
      </c>
    </row>
    <row r="38" spans="1:16">
      <c r="A38" s="3">
        <v>36</v>
      </c>
      <c r="B38" s="3" t="s">
        <v>4</v>
      </c>
      <c r="C38" s="3"/>
      <c r="D38" s="64"/>
      <c r="E38" s="64"/>
      <c r="F38" s="64"/>
      <c r="G38" s="64"/>
      <c r="H38" s="65"/>
      <c r="I38" s="65"/>
      <c r="J38" s="65"/>
      <c r="K38" s="65"/>
      <c r="L38" s="65"/>
      <c r="M38" s="65"/>
      <c r="N38" s="65"/>
      <c r="O38" s="65"/>
      <c r="P38" s="66">
        <f t="shared" si="0"/>
        <v>0</v>
      </c>
    </row>
    <row r="39" spans="1:16">
      <c r="A39" s="3">
        <v>37</v>
      </c>
      <c r="B39" s="3" t="s">
        <v>4</v>
      </c>
      <c r="C39" s="3"/>
      <c r="D39" s="64"/>
      <c r="E39" s="64"/>
      <c r="F39" s="64"/>
      <c r="G39" s="64"/>
      <c r="H39" s="65"/>
      <c r="I39" s="65"/>
      <c r="J39" s="65"/>
      <c r="K39" s="65"/>
      <c r="L39" s="65"/>
      <c r="M39" s="65"/>
      <c r="N39" s="65"/>
      <c r="O39" s="65"/>
      <c r="P39" s="66">
        <f t="shared" si="0"/>
        <v>0</v>
      </c>
    </row>
    <row r="40" spans="1:16">
      <c r="A40" s="3">
        <v>38</v>
      </c>
      <c r="B40" s="3" t="s">
        <v>4</v>
      </c>
      <c r="C40" s="3"/>
      <c r="D40" s="64"/>
      <c r="E40" s="64"/>
      <c r="F40" s="64"/>
      <c r="G40" s="64"/>
      <c r="H40" s="65"/>
      <c r="I40" s="65"/>
      <c r="J40" s="65"/>
      <c r="K40" s="65"/>
      <c r="L40" s="65"/>
      <c r="M40" s="65"/>
      <c r="N40" s="65"/>
      <c r="O40" s="65"/>
      <c r="P40" s="66">
        <f t="shared" si="0"/>
        <v>0</v>
      </c>
    </row>
    <row r="41" spans="1:16">
      <c r="A41" s="3">
        <v>39</v>
      </c>
      <c r="B41" s="3" t="s">
        <v>4</v>
      </c>
      <c r="C41" s="3"/>
      <c r="D41" s="64"/>
      <c r="E41" s="64"/>
      <c r="F41" s="64"/>
      <c r="G41" s="64"/>
      <c r="H41" s="65"/>
      <c r="I41" s="65"/>
      <c r="J41" s="65"/>
      <c r="K41" s="65"/>
      <c r="L41" s="65"/>
      <c r="M41" s="65"/>
      <c r="N41" s="65"/>
      <c r="O41" s="65"/>
      <c r="P41" s="66">
        <f t="shared" si="0"/>
        <v>0</v>
      </c>
    </row>
    <row r="42" spans="1:16">
      <c r="A42" s="3">
        <v>40</v>
      </c>
      <c r="B42" s="3" t="s">
        <v>4</v>
      </c>
      <c r="C42" s="3"/>
      <c r="D42" s="64"/>
      <c r="E42" s="64"/>
      <c r="F42" s="64"/>
      <c r="G42" s="64"/>
      <c r="H42" s="65"/>
      <c r="I42" s="65"/>
      <c r="J42" s="65"/>
      <c r="K42" s="65"/>
      <c r="L42" s="65"/>
      <c r="M42" s="65"/>
      <c r="N42" s="65"/>
      <c r="O42" s="65"/>
      <c r="P42" s="66">
        <f t="shared" si="0"/>
        <v>0</v>
      </c>
    </row>
    <row r="43" spans="1:16">
      <c r="A43" s="3">
        <v>41</v>
      </c>
      <c r="B43" s="3" t="s">
        <v>4</v>
      </c>
      <c r="C43" s="3"/>
      <c r="D43" s="64"/>
      <c r="E43" s="64"/>
      <c r="F43" s="64"/>
      <c r="G43" s="64"/>
      <c r="H43" s="65"/>
      <c r="I43" s="65"/>
      <c r="J43" s="65"/>
      <c r="K43" s="65"/>
      <c r="L43" s="65"/>
      <c r="M43" s="65"/>
      <c r="N43" s="65"/>
      <c r="O43" s="65"/>
      <c r="P43" s="66">
        <f t="shared" si="0"/>
        <v>0</v>
      </c>
    </row>
    <row r="44" spans="1:16">
      <c r="A44" s="3">
        <v>42</v>
      </c>
      <c r="B44" s="3" t="s">
        <v>4</v>
      </c>
      <c r="C44" s="3"/>
      <c r="D44" s="64"/>
      <c r="E44" s="64"/>
      <c r="F44" s="64"/>
      <c r="G44" s="64"/>
      <c r="H44" s="65"/>
      <c r="I44" s="65"/>
      <c r="J44" s="65"/>
      <c r="K44" s="65"/>
      <c r="L44" s="65"/>
      <c r="M44" s="65"/>
      <c r="N44" s="65"/>
      <c r="O44" s="65"/>
      <c r="P44" s="66">
        <f t="shared" si="0"/>
        <v>0</v>
      </c>
    </row>
    <row r="45" spans="1:16">
      <c r="A45" s="3">
        <v>43</v>
      </c>
      <c r="B45" s="3" t="s">
        <v>4</v>
      </c>
      <c r="C45" s="3"/>
      <c r="D45" s="64"/>
      <c r="E45" s="64"/>
      <c r="F45" s="64"/>
      <c r="G45" s="64"/>
      <c r="H45" s="65"/>
      <c r="I45" s="65"/>
      <c r="J45" s="65"/>
      <c r="K45" s="65"/>
      <c r="L45" s="65"/>
      <c r="M45" s="65"/>
      <c r="N45" s="65"/>
      <c r="O45" s="65"/>
      <c r="P45" s="66">
        <f t="shared" si="0"/>
        <v>0</v>
      </c>
    </row>
    <row r="46" spans="1:16">
      <c r="A46" s="3">
        <v>44</v>
      </c>
      <c r="B46" s="3" t="s">
        <v>4</v>
      </c>
      <c r="C46" s="3"/>
      <c r="D46" s="64"/>
      <c r="E46" s="64"/>
      <c r="F46" s="64"/>
      <c r="G46" s="64"/>
      <c r="H46" s="65"/>
      <c r="I46" s="65"/>
      <c r="J46" s="65"/>
      <c r="K46" s="65"/>
      <c r="L46" s="65"/>
      <c r="M46" s="65"/>
      <c r="N46" s="65"/>
      <c r="O46" s="65"/>
      <c r="P46" s="66">
        <f t="shared" si="0"/>
        <v>0</v>
      </c>
    </row>
    <row r="47" spans="1:16">
      <c r="A47" s="3">
        <v>45</v>
      </c>
      <c r="B47" s="3" t="s">
        <v>4</v>
      </c>
      <c r="C47" s="3"/>
      <c r="D47" s="64"/>
      <c r="E47" s="64"/>
      <c r="F47" s="64"/>
      <c r="G47" s="64"/>
      <c r="H47" s="65"/>
      <c r="I47" s="65"/>
      <c r="J47" s="65"/>
      <c r="K47" s="65"/>
      <c r="L47" s="65"/>
      <c r="M47" s="65"/>
      <c r="N47" s="65"/>
      <c r="O47" s="65"/>
      <c r="P47" s="66">
        <f t="shared" si="0"/>
        <v>0</v>
      </c>
    </row>
    <row r="48" spans="1:16">
      <c r="A48" s="3">
        <v>46</v>
      </c>
      <c r="B48" s="3" t="s">
        <v>4</v>
      </c>
      <c r="C48" s="3"/>
      <c r="D48" s="64"/>
      <c r="E48" s="64"/>
      <c r="F48" s="64"/>
      <c r="G48" s="64"/>
      <c r="H48" s="65"/>
      <c r="I48" s="65"/>
      <c r="J48" s="65"/>
      <c r="K48" s="65"/>
      <c r="L48" s="65"/>
      <c r="M48" s="65"/>
      <c r="N48" s="65"/>
      <c r="O48" s="65"/>
      <c r="P48" s="66">
        <f t="shared" si="0"/>
        <v>0</v>
      </c>
    </row>
    <row r="49" spans="1:16">
      <c r="A49" s="3">
        <v>47</v>
      </c>
      <c r="B49" s="3" t="s">
        <v>4</v>
      </c>
      <c r="C49" s="3"/>
      <c r="D49" s="64"/>
      <c r="E49" s="64"/>
      <c r="F49" s="64"/>
      <c r="G49" s="64"/>
      <c r="H49" s="65"/>
      <c r="I49" s="65"/>
      <c r="J49" s="65"/>
      <c r="K49" s="65"/>
      <c r="L49" s="65"/>
      <c r="M49" s="65"/>
      <c r="N49" s="65"/>
      <c r="O49" s="65"/>
      <c r="P49" s="66">
        <f t="shared" si="0"/>
        <v>0</v>
      </c>
    </row>
    <row r="50" spans="1:16">
      <c r="A50" s="3">
        <v>48</v>
      </c>
      <c r="B50" s="3" t="s">
        <v>4</v>
      </c>
      <c r="C50" s="3"/>
      <c r="D50" s="64"/>
      <c r="E50" s="64"/>
      <c r="F50" s="64"/>
      <c r="G50" s="64"/>
      <c r="H50" s="65"/>
      <c r="I50" s="65"/>
      <c r="J50" s="65"/>
      <c r="K50" s="65"/>
      <c r="L50" s="65"/>
      <c r="M50" s="65"/>
      <c r="N50" s="65"/>
      <c r="O50" s="65"/>
      <c r="P50" s="66">
        <f t="shared" si="0"/>
        <v>0</v>
      </c>
    </row>
    <row r="51" spans="1:16">
      <c r="A51" s="3">
        <v>49</v>
      </c>
      <c r="B51" s="3" t="s">
        <v>4</v>
      </c>
      <c r="C51" s="3"/>
      <c r="D51" s="64"/>
      <c r="E51" s="64"/>
      <c r="F51" s="64"/>
      <c r="G51" s="64"/>
      <c r="H51" s="65"/>
      <c r="I51" s="65"/>
      <c r="J51" s="65"/>
      <c r="K51" s="65"/>
      <c r="L51" s="65"/>
      <c r="M51" s="65"/>
      <c r="N51" s="65"/>
      <c r="O51" s="65"/>
      <c r="P51" s="66">
        <f t="shared" si="0"/>
        <v>0</v>
      </c>
    </row>
    <row r="52" spans="1:16">
      <c r="A52" s="3">
        <v>50</v>
      </c>
      <c r="B52" s="3" t="s">
        <v>4</v>
      </c>
      <c r="C52" s="3"/>
      <c r="D52" s="64"/>
      <c r="E52" s="64"/>
      <c r="F52" s="64"/>
      <c r="G52" s="64"/>
      <c r="H52" s="65"/>
      <c r="I52" s="65"/>
      <c r="J52" s="65"/>
      <c r="K52" s="65"/>
      <c r="L52" s="65"/>
      <c r="M52" s="65"/>
      <c r="N52" s="65"/>
      <c r="O52" s="65"/>
      <c r="P52" s="66">
        <f t="shared" si="0"/>
        <v>0</v>
      </c>
    </row>
    <row r="53" spans="1:16">
      <c r="A53" s="3">
        <v>51</v>
      </c>
      <c r="B53" s="3" t="s">
        <v>4</v>
      </c>
      <c r="C53" s="3"/>
      <c r="D53" s="64"/>
      <c r="E53" s="64"/>
      <c r="F53" s="64"/>
      <c r="G53" s="64"/>
      <c r="H53" s="65"/>
      <c r="I53" s="65"/>
      <c r="J53" s="65"/>
      <c r="K53" s="65"/>
      <c r="L53" s="65"/>
      <c r="M53" s="65"/>
      <c r="N53" s="65"/>
      <c r="O53" s="65"/>
      <c r="P53" s="66">
        <f t="shared" si="0"/>
        <v>0</v>
      </c>
    </row>
    <row r="54" spans="1:16">
      <c r="A54" s="3">
        <v>52</v>
      </c>
      <c r="B54" s="3" t="s">
        <v>4</v>
      </c>
      <c r="C54" s="3"/>
      <c r="D54" s="64"/>
      <c r="E54" s="64"/>
      <c r="F54" s="64"/>
      <c r="G54" s="64"/>
      <c r="H54" s="65"/>
      <c r="I54" s="65"/>
      <c r="J54" s="65"/>
      <c r="K54" s="65"/>
      <c r="L54" s="65"/>
      <c r="M54" s="65"/>
      <c r="N54" s="65"/>
      <c r="O54" s="65"/>
      <c r="P54" s="66">
        <f t="shared" si="0"/>
        <v>0</v>
      </c>
    </row>
    <row r="55" spans="1:16">
      <c r="A55" s="3">
        <v>53</v>
      </c>
      <c r="B55" s="3" t="s">
        <v>4</v>
      </c>
      <c r="C55" s="3"/>
      <c r="D55" s="64"/>
      <c r="E55" s="64"/>
      <c r="F55" s="64"/>
      <c r="G55" s="64"/>
      <c r="H55" s="65"/>
      <c r="I55" s="65"/>
      <c r="J55" s="65"/>
      <c r="K55" s="65"/>
      <c r="L55" s="65"/>
      <c r="M55" s="65"/>
      <c r="N55" s="65"/>
      <c r="O55" s="65"/>
      <c r="P55" s="66">
        <f t="shared" si="0"/>
        <v>0</v>
      </c>
    </row>
    <row r="56" spans="1:16">
      <c r="A56" s="3">
        <v>54</v>
      </c>
      <c r="B56" s="3" t="s">
        <v>4</v>
      </c>
      <c r="C56" s="3"/>
      <c r="D56" s="64"/>
      <c r="E56" s="64"/>
      <c r="F56" s="64"/>
      <c r="G56" s="64"/>
      <c r="H56" s="65"/>
      <c r="I56" s="65"/>
      <c r="J56" s="65"/>
      <c r="K56" s="65"/>
      <c r="L56" s="65"/>
      <c r="M56" s="65"/>
      <c r="N56" s="65"/>
      <c r="O56" s="65"/>
      <c r="P56" s="66">
        <f t="shared" si="0"/>
        <v>0</v>
      </c>
    </row>
    <row r="57" spans="1:16">
      <c r="A57" s="3">
        <v>55</v>
      </c>
      <c r="B57" s="3" t="s">
        <v>4</v>
      </c>
      <c r="C57" s="3"/>
      <c r="D57" s="64"/>
      <c r="E57" s="64"/>
      <c r="F57" s="64"/>
      <c r="G57" s="64"/>
      <c r="H57" s="65"/>
      <c r="I57" s="65"/>
      <c r="J57" s="65"/>
      <c r="K57" s="65"/>
      <c r="L57" s="65"/>
      <c r="M57" s="65"/>
      <c r="N57" s="65"/>
      <c r="O57" s="65"/>
      <c r="P57" s="66">
        <f t="shared" si="0"/>
        <v>0</v>
      </c>
    </row>
    <row r="58" spans="1:16">
      <c r="A58" s="3">
        <v>56</v>
      </c>
      <c r="B58" s="3" t="s">
        <v>4</v>
      </c>
      <c r="C58" s="3"/>
      <c r="D58" s="64"/>
      <c r="E58" s="64"/>
      <c r="F58" s="64"/>
      <c r="G58" s="64"/>
      <c r="H58" s="65"/>
      <c r="I58" s="65"/>
      <c r="J58" s="65"/>
      <c r="K58" s="65"/>
      <c r="L58" s="65"/>
      <c r="M58" s="65"/>
      <c r="N58" s="65"/>
      <c r="O58" s="65"/>
      <c r="P58" s="66">
        <f t="shared" si="0"/>
        <v>0</v>
      </c>
    </row>
    <row r="59" spans="1:16">
      <c r="A59" s="3">
        <v>57</v>
      </c>
      <c r="B59" s="3" t="s">
        <v>4</v>
      </c>
      <c r="C59" s="3"/>
      <c r="D59" s="64"/>
      <c r="E59" s="64"/>
      <c r="F59" s="64"/>
      <c r="G59" s="64"/>
      <c r="H59" s="65"/>
      <c r="I59" s="65"/>
      <c r="J59" s="65"/>
      <c r="K59" s="65"/>
      <c r="L59" s="65"/>
      <c r="M59" s="65"/>
      <c r="N59" s="65"/>
      <c r="O59" s="65"/>
      <c r="P59" s="66">
        <f t="shared" si="0"/>
        <v>0</v>
      </c>
    </row>
    <row r="60" spans="1:16">
      <c r="A60" s="3">
        <v>58</v>
      </c>
      <c r="B60" s="3" t="s">
        <v>4</v>
      </c>
      <c r="C60" s="3"/>
      <c r="D60" s="64"/>
      <c r="E60" s="64"/>
      <c r="F60" s="64"/>
      <c r="G60" s="64"/>
      <c r="H60" s="65"/>
      <c r="I60" s="65"/>
      <c r="J60" s="65"/>
      <c r="K60" s="65"/>
      <c r="L60" s="65"/>
      <c r="M60" s="65"/>
      <c r="N60" s="65"/>
      <c r="O60" s="65"/>
      <c r="P60" s="66">
        <f t="shared" si="0"/>
        <v>0</v>
      </c>
    </row>
    <row r="61" spans="1:16">
      <c r="A61" s="3">
        <v>59</v>
      </c>
      <c r="B61" s="3" t="s">
        <v>4</v>
      </c>
      <c r="C61" s="3"/>
      <c r="D61" s="64"/>
      <c r="E61" s="64"/>
      <c r="F61" s="64"/>
      <c r="G61" s="64"/>
      <c r="H61" s="65"/>
      <c r="I61" s="65"/>
      <c r="J61" s="65"/>
      <c r="K61" s="65"/>
      <c r="L61" s="65"/>
      <c r="M61" s="65"/>
      <c r="N61" s="65"/>
      <c r="O61" s="65"/>
      <c r="P61" s="66">
        <f t="shared" si="0"/>
        <v>0</v>
      </c>
    </row>
    <row r="62" spans="1:16">
      <c r="A62" s="3">
        <v>60</v>
      </c>
      <c r="B62" s="3" t="s">
        <v>4</v>
      </c>
      <c r="C62" s="3"/>
      <c r="D62" s="64"/>
      <c r="E62" s="64"/>
      <c r="F62" s="64"/>
      <c r="G62" s="64"/>
      <c r="H62" s="65"/>
      <c r="I62" s="65"/>
      <c r="J62" s="65"/>
      <c r="K62" s="65"/>
      <c r="L62" s="65"/>
      <c r="M62" s="65"/>
      <c r="N62" s="65"/>
      <c r="O62" s="65"/>
      <c r="P62" s="66">
        <f t="shared" si="0"/>
        <v>0</v>
      </c>
    </row>
    <row r="63" spans="1:16">
      <c r="A63" s="3">
        <v>61</v>
      </c>
      <c r="B63" s="3" t="s">
        <v>4</v>
      </c>
      <c r="C63" s="3"/>
      <c r="D63" s="64"/>
      <c r="E63" s="64"/>
      <c r="F63" s="64"/>
      <c r="G63" s="64"/>
      <c r="H63" s="65"/>
      <c r="I63" s="65"/>
      <c r="J63" s="65"/>
      <c r="K63" s="65"/>
      <c r="L63" s="65"/>
      <c r="M63" s="65"/>
      <c r="N63" s="65"/>
      <c r="O63" s="65"/>
      <c r="P63" s="66">
        <f t="shared" si="0"/>
        <v>0</v>
      </c>
    </row>
    <row r="64" spans="1:16">
      <c r="A64" s="3">
        <v>62</v>
      </c>
      <c r="B64" s="3" t="s">
        <v>4</v>
      </c>
      <c r="C64" s="3"/>
      <c r="D64" s="64"/>
      <c r="E64" s="64"/>
      <c r="F64" s="64"/>
      <c r="G64" s="64"/>
      <c r="H64" s="65"/>
      <c r="I64" s="65"/>
      <c r="J64" s="65"/>
      <c r="K64" s="65"/>
      <c r="L64" s="65"/>
      <c r="M64" s="65"/>
      <c r="N64" s="65"/>
      <c r="O64" s="65"/>
      <c r="P64" s="66">
        <f t="shared" si="0"/>
        <v>0</v>
      </c>
    </row>
    <row r="65" spans="1:16">
      <c r="A65" s="3">
        <v>63</v>
      </c>
      <c r="B65" s="3" t="s">
        <v>4</v>
      </c>
      <c r="C65" s="3"/>
      <c r="D65" s="64"/>
      <c r="E65" s="64"/>
      <c r="F65" s="64"/>
      <c r="G65" s="64"/>
      <c r="H65" s="65"/>
      <c r="I65" s="65"/>
      <c r="J65" s="65"/>
      <c r="K65" s="65"/>
      <c r="L65" s="65"/>
      <c r="M65" s="65"/>
      <c r="N65" s="65"/>
      <c r="O65" s="65"/>
      <c r="P65" s="66">
        <f t="shared" si="0"/>
        <v>0</v>
      </c>
    </row>
    <row r="66" spans="1:16">
      <c r="A66" s="3">
        <v>64</v>
      </c>
      <c r="B66" s="3" t="s">
        <v>4</v>
      </c>
      <c r="C66" s="3"/>
      <c r="D66" s="64"/>
      <c r="E66" s="64"/>
      <c r="F66" s="64"/>
      <c r="G66" s="64"/>
      <c r="H66" s="65"/>
      <c r="I66" s="65"/>
      <c r="J66" s="65"/>
      <c r="K66" s="65"/>
      <c r="L66" s="65"/>
      <c r="M66" s="65"/>
      <c r="N66" s="65"/>
      <c r="O66" s="65"/>
      <c r="P66" s="66">
        <f t="shared" si="0"/>
        <v>0</v>
      </c>
    </row>
    <row r="67" spans="1:16">
      <c r="A67" s="3">
        <v>65</v>
      </c>
      <c r="B67" s="3" t="s">
        <v>4</v>
      </c>
      <c r="C67" s="3"/>
      <c r="D67" s="64"/>
      <c r="E67" s="64"/>
      <c r="F67" s="64"/>
      <c r="G67" s="64"/>
      <c r="H67" s="65"/>
      <c r="I67" s="65"/>
      <c r="J67" s="65"/>
      <c r="K67" s="65"/>
      <c r="L67" s="65"/>
      <c r="M67" s="65"/>
      <c r="N67" s="65"/>
      <c r="O67" s="65"/>
      <c r="P67" s="66">
        <f t="shared" si="0"/>
        <v>0</v>
      </c>
    </row>
    <row r="68" spans="1:16">
      <c r="A68" s="3">
        <v>66</v>
      </c>
      <c r="B68" s="3" t="s">
        <v>4</v>
      </c>
      <c r="C68" s="3"/>
      <c r="D68" s="64"/>
      <c r="E68" s="64"/>
      <c r="F68" s="64"/>
      <c r="G68" s="64"/>
      <c r="H68" s="65"/>
      <c r="I68" s="65"/>
      <c r="J68" s="65"/>
      <c r="K68" s="65"/>
      <c r="L68" s="65"/>
      <c r="M68" s="65"/>
      <c r="N68" s="65"/>
      <c r="O68" s="65"/>
      <c r="P68" s="66">
        <f t="shared" ref="P68:P97" si="1">SUM(D68:O68)</f>
        <v>0</v>
      </c>
    </row>
    <row r="69" spans="1:16">
      <c r="A69" s="3">
        <v>67</v>
      </c>
      <c r="B69" s="3" t="s">
        <v>4</v>
      </c>
      <c r="C69" s="3"/>
      <c r="D69" s="64"/>
      <c r="E69" s="64"/>
      <c r="F69" s="64"/>
      <c r="G69" s="64"/>
      <c r="H69" s="65"/>
      <c r="I69" s="65"/>
      <c r="J69" s="65"/>
      <c r="K69" s="65"/>
      <c r="L69" s="65"/>
      <c r="M69" s="65"/>
      <c r="N69" s="65"/>
      <c r="O69" s="65"/>
      <c r="P69" s="66">
        <f t="shared" si="1"/>
        <v>0</v>
      </c>
    </row>
    <row r="70" spans="1:16">
      <c r="A70" s="3">
        <v>68</v>
      </c>
      <c r="B70" s="3" t="s">
        <v>4</v>
      </c>
      <c r="C70" s="3"/>
      <c r="D70" s="64"/>
      <c r="E70" s="64"/>
      <c r="F70" s="64"/>
      <c r="G70" s="64"/>
      <c r="H70" s="65"/>
      <c r="I70" s="65"/>
      <c r="J70" s="65"/>
      <c r="K70" s="65"/>
      <c r="L70" s="65"/>
      <c r="M70" s="65"/>
      <c r="N70" s="65"/>
      <c r="O70" s="65"/>
      <c r="P70" s="66">
        <f t="shared" si="1"/>
        <v>0</v>
      </c>
    </row>
    <row r="71" spans="1:16">
      <c r="A71" s="3">
        <v>69</v>
      </c>
      <c r="B71" s="3" t="s">
        <v>4</v>
      </c>
      <c r="C71" s="3"/>
      <c r="D71" s="64"/>
      <c r="E71" s="64"/>
      <c r="F71" s="64"/>
      <c r="G71" s="64"/>
      <c r="H71" s="65"/>
      <c r="I71" s="65"/>
      <c r="J71" s="65"/>
      <c r="K71" s="65"/>
      <c r="L71" s="65"/>
      <c r="M71" s="65"/>
      <c r="N71" s="65"/>
      <c r="O71" s="65"/>
      <c r="P71" s="66">
        <f t="shared" si="1"/>
        <v>0</v>
      </c>
    </row>
    <row r="72" spans="1:16">
      <c r="A72" s="3">
        <v>70</v>
      </c>
      <c r="B72" s="3" t="s">
        <v>4</v>
      </c>
      <c r="C72" s="3"/>
      <c r="D72" s="64"/>
      <c r="E72" s="64"/>
      <c r="F72" s="64"/>
      <c r="G72" s="64"/>
      <c r="H72" s="65"/>
      <c r="I72" s="65"/>
      <c r="J72" s="65"/>
      <c r="K72" s="65"/>
      <c r="L72" s="65"/>
      <c r="M72" s="65"/>
      <c r="N72" s="65"/>
      <c r="O72" s="65"/>
      <c r="P72" s="66">
        <f t="shared" si="1"/>
        <v>0</v>
      </c>
    </row>
    <row r="73" spans="1:16">
      <c r="A73" s="3">
        <v>71</v>
      </c>
      <c r="B73" s="3" t="s">
        <v>4</v>
      </c>
      <c r="C73" s="3"/>
      <c r="D73" s="64"/>
      <c r="E73" s="64"/>
      <c r="F73" s="64"/>
      <c r="G73" s="64"/>
      <c r="H73" s="65"/>
      <c r="I73" s="65"/>
      <c r="J73" s="65"/>
      <c r="K73" s="65"/>
      <c r="L73" s="65"/>
      <c r="M73" s="65"/>
      <c r="N73" s="65"/>
      <c r="O73" s="65"/>
      <c r="P73" s="66">
        <f t="shared" si="1"/>
        <v>0</v>
      </c>
    </row>
    <row r="74" spans="1:16">
      <c r="A74" s="3">
        <v>72</v>
      </c>
      <c r="B74" s="3" t="s">
        <v>4</v>
      </c>
      <c r="C74" s="3"/>
      <c r="D74" s="64"/>
      <c r="E74" s="64"/>
      <c r="F74" s="64"/>
      <c r="G74" s="64"/>
      <c r="H74" s="65"/>
      <c r="I74" s="65"/>
      <c r="J74" s="65"/>
      <c r="K74" s="65"/>
      <c r="L74" s="65"/>
      <c r="M74" s="65"/>
      <c r="N74" s="65"/>
      <c r="O74" s="65"/>
      <c r="P74" s="66">
        <f t="shared" si="1"/>
        <v>0</v>
      </c>
    </row>
    <row r="75" spans="1:16">
      <c r="A75" s="3">
        <v>73</v>
      </c>
      <c r="B75" s="3" t="s">
        <v>4</v>
      </c>
      <c r="C75" s="3"/>
      <c r="D75" s="64"/>
      <c r="E75" s="64"/>
      <c r="F75" s="64"/>
      <c r="G75" s="64"/>
      <c r="H75" s="65"/>
      <c r="I75" s="65"/>
      <c r="J75" s="65"/>
      <c r="K75" s="65"/>
      <c r="L75" s="65"/>
      <c r="M75" s="65"/>
      <c r="N75" s="65"/>
      <c r="O75" s="65"/>
      <c r="P75" s="66">
        <f t="shared" si="1"/>
        <v>0</v>
      </c>
    </row>
    <row r="76" spans="1:16">
      <c r="A76" s="3">
        <v>74</v>
      </c>
      <c r="B76" s="3" t="s">
        <v>4</v>
      </c>
      <c r="C76" s="3"/>
      <c r="D76" s="64"/>
      <c r="E76" s="64"/>
      <c r="F76" s="64"/>
      <c r="G76" s="64"/>
      <c r="H76" s="65"/>
      <c r="I76" s="65"/>
      <c r="J76" s="65"/>
      <c r="K76" s="65"/>
      <c r="L76" s="65"/>
      <c r="M76" s="65"/>
      <c r="N76" s="65"/>
      <c r="O76" s="65"/>
      <c r="P76" s="66">
        <f t="shared" si="1"/>
        <v>0</v>
      </c>
    </row>
    <row r="77" spans="1:16">
      <c r="A77" s="3">
        <v>75</v>
      </c>
      <c r="B77" s="3" t="s">
        <v>4</v>
      </c>
      <c r="C77" s="3"/>
      <c r="D77" s="64"/>
      <c r="E77" s="64"/>
      <c r="F77" s="64"/>
      <c r="G77" s="64"/>
      <c r="H77" s="65"/>
      <c r="I77" s="65"/>
      <c r="J77" s="65"/>
      <c r="K77" s="65"/>
      <c r="L77" s="65"/>
      <c r="M77" s="65"/>
      <c r="N77" s="65"/>
      <c r="O77" s="65"/>
      <c r="P77" s="66">
        <f t="shared" si="1"/>
        <v>0</v>
      </c>
    </row>
    <row r="78" spans="1:16">
      <c r="A78" s="3">
        <v>76</v>
      </c>
      <c r="B78" s="3" t="s">
        <v>4</v>
      </c>
      <c r="C78" s="67"/>
      <c r="D78" s="68"/>
      <c r="E78" s="68"/>
      <c r="F78" s="68"/>
      <c r="G78" s="68"/>
      <c r="H78" s="65"/>
      <c r="I78" s="65"/>
      <c r="J78" s="65"/>
      <c r="K78" s="65"/>
      <c r="L78" s="65"/>
      <c r="M78" s="65"/>
      <c r="N78" s="65"/>
      <c r="O78" s="65"/>
      <c r="P78" s="66">
        <f t="shared" si="1"/>
        <v>0</v>
      </c>
    </row>
    <row r="79" spans="1:16">
      <c r="A79" s="3">
        <v>77</v>
      </c>
      <c r="B79" s="3" t="s">
        <v>4</v>
      </c>
      <c r="C79" s="3"/>
      <c r="D79" s="64"/>
      <c r="E79" s="64"/>
      <c r="F79" s="64"/>
      <c r="G79" s="64"/>
      <c r="H79" s="65"/>
      <c r="I79" s="65"/>
      <c r="J79" s="65"/>
      <c r="K79" s="65"/>
      <c r="L79" s="65"/>
      <c r="M79" s="65"/>
      <c r="N79" s="65"/>
      <c r="O79" s="65"/>
      <c r="P79" s="66">
        <f t="shared" si="1"/>
        <v>0</v>
      </c>
    </row>
    <row r="80" spans="1:16">
      <c r="A80" s="3">
        <v>78</v>
      </c>
      <c r="B80" s="3" t="s">
        <v>4</v>
      </c>
      <c r="C80" s="3"/>
      <c r="D80" s="64"/>
      <c r="E80" s="64"/>
      <c r="F80" s="64"/>
      <c r="G80" s="64"/>
      <c r="H80" s="65"/>
      <c r="I80" s="65"/>
      <c r="J80" s="65"/>
      <c r="K80" s="65"/>
      <c r="L80" s="65"/>
      <c r="M80" s="65"/>
      <c r="N80" s="65"/>
      <c r="O80" s="65"/>
      <c r="P80" s="66">
        <f t="shared" si="1"/>
        <v>0</v>
      </c>
    </row>
    <row r="81" spans="1:16">
      <c r="A81" s="67">
        <v>79</v>
      </c>
      <c r="B81" s="3" t="s">
        <v>4</v>
      </c>
      <c r="C81" s="3"/>
      <c r="D81" s="64"/>
      <c r="E81" s="64"/>
      <c r="F81" s="64"/>
      <c r="G81" s="64"/>
      <c r="H81" s="65"/>
      <c r="I81" s="65"/>
      <c r="J81" s="65"/>
      <c r="K81" s="65"/>
      <c r="L81" s="65"/>
      <c r="M81" s="65"/>
      <c r="N81" s="65"/>
      <c r="O81" s="65"/>
      <c r="P81" s="66">
        <f t="shared" si="1"/>
        <v>0</v>
      </c>
    </row>
    <row r="82" spans="1:16">
      <c r="A82" s="3">
        <v>80</v>
      </c>
      <c r="B82" s="3" t="s">
        <v>4</v>
      </c>
      <c r="C82" s="3"/>
      <c r="D82" s="64"/>
      <c r="E82" s="64"/>
      <c r="F82" s="64"/>
      <c r="G82" s="64"/>
      <c r="H82" s="65"/>
      <c r="I82" s="65"/>
      <c r="J82" s="65"/>
      <c r="K82" s="65"/>
      <c r="L82" s="65"/>
      <c r="M82" s="65"/>
      <c r="N82" s="65"/>
      <c r="O82" s="65"/>
      <c r="P82" s="66">
        <f t="shared" si="1"/>
        <v>0</v>
      </c>
    </row>
    <row r="83" spans="1:16">
      <c r="A83" s="3">
        <v>81</v>
      </c>
      <c r="B83" s="3" t="s">
        <v>4</v>
      </c>
      <c r="C83" s="3"/>
      <c r="D83" s="64"/>
      <c r="E83" s="64"/>
      <c r="F83" s="64"/>
      <c r="G83" s="64"/>
      <c r="H83" s="65"/>
      <c r="I83" s="65"/>
      <c r="J83" s="65"/>
      <c r="K83" s="65"/>
      <c r="L83" s="65"/>
      <c r="M83" s="65"/>
      <c r="N83" s="65"/>
      <c r="O83" s="65"/>
      <c r="P83" s="66">
        <f t="shared" si="1"/>
        <v>0</v>
      </c>
    </row>
    <row r="84" spans="1:16">
      <c r="A84" s="3">
        <v>82</v>
      </c>
      <c r="B84" s="3" t="s">
        <v>4</v>
      </c>
      <c r="C84" s="3"/>
      <c r="D84" s="64"/>
      <c r="E84" s="64"/>
      <c r="F84" s="64"/>
      <c r="G84" s="64"/>
      <c r="H84" s="65"/>
      <c r="I84" s="65"/>
      <c r="J84" s="65"/>
      <c r="K84" s="65"/>
      <c r="L84" s="65"/>
      <c r="M84" s="65"/>
      <c r="N84" s="65"/>
      <c r="O84" s="65"/>
      <c r="P84" s="66">
        <f t="shared" si="1"/>
        <v>0</v>
      </c>
    </row>
    <row r="85" spans="1:16">
      <c r="A85" s="3">
        <v>83</v>
      </c>
      <c r="B85" s="3" t="s">
        <v>4</v>
      </c>
      <c r="C85" s="3"/>
      <c r="D85" s="64"/>
      <c r="E85" s="64"/>
      <c r="F85" s="64"/>
      <c r="G85" s="64"/>
      <c r="H85" s="65"/>
      <c r="I85" s="65"/>
      <c r="J85" s="65"/>
      <c r="K85" s="65"/>
      <c r="L85" s="65"/>
      <c r="M85" s="65"/>
      <c r="N85" s="65"/>
      <c r="O85" s="65"/>
      <c r="P85" s="66">
        <f t="shared" si="1"/>
        <v>0</v>
      </c>
    </row>
    <row r="86" spans="1:16">
      <c r="A86" s="3">
        <v>84</v>
      </c>
      <c r="B86" s="3" t="s">
        <v>4</v>
      </c>
      <c r="C86" s="3"/>
      <c r="D86" s="64"/>
      <c r="E86" s="64"/>
      <c r="F86" s="64"/>
      <c r="G86" s="64"/>
      <c r="H86" s="65"/>
      <c r="I86" s="65"/>
      <c r="J86" s="65"/>
      <c r="K86" s="65"/>
      <c r="L86" s="65"/>
      <c r="M86" s="65"/>
      <c r="N86" s="65"/>
      <c r="O86" s="65"/>
      <c r="P86" s="66">
        <f t="shared" si="1"/>
        <v>0</v>
      </c>
    </row>
    <row r="87" spans="1:16">
      <c r="A87" s="3">
        <v>85</v>
      </c>
      <c r="B87" s="3" t="s">
        <v>4</v>
      </c>
      <c r="C87" s="3"/>
      <c r="D87" s="64"/>
      <c r="E87" s="64"/>
      <c r="F87" s="64"/>
      <c r="G87" s="64"/>
      <c r="H87" s="65"/>
      <c r="I87" s="65"/>
      <c r="J87" s="65"/>
      <c r="K87" s="65"/>
      <c r="L87" s="65"/>
      <c r="M87" s="65"/>
      <c r="N87" s="65"/>
      <c r="O87" s="65"/>
      <c r="P87" s="66">
        <f t="shared" si="1"/>
        <v>0</v>
      </c>
    </row>
    <row r="88" spans="1:16">
      <c r="A88" s="3">
        <v>86</v>
      </c>
      <c r="B88" s="3" t="s">
        <v>4</v>
      </c>
      <c r="C88" s="3"/>
      <c r="D88" s="64"/>
      <c r="E88" s="64"/>
      <c r="F88" s="64"/>
      <c r="G88" s="64"/>
      <c r="H88" s="65"/>
      <c r="I88" s="65"/>
      <c r="J88" s="65"/>
      <c r="K88" s="65"/>
      <c r="L88" s="65"/>
      <c r="M88" s="65"/>
      <c r="N88" s="65"/>
      <c r="O88" s="65"/>
      <c r="P88" s="66">
        <f t="shared" si="1"/>
        <v>0</v>
      </c>
    </row>
    <row r="89" spans="1:16">
      <c r="A89" s="3">
        <v>87</v>
      </c>
      <c r="B89" s="3" t="s">
        <v>4</v>
      </c>
      <c r="C89" s="3"/>
      <c r="D89" s="64"/>
      <c r="E89" s="64"/>
      <c r="F89" s="64"/>
      <c r="G89" s="64"/>
      <c r="H89" s="65"/>
      <c r="I89" s="65"/>
      <c r="J89" s="65"/>
      <c r="K89" s="65"/>
      <c r="L89" s="65"/>
      <c r="M89" s="65"/>
      <c r="N89" s="65"/>
      <c r="O89" s="65"/>
      <c r="P89" s="66">
        <f t="shared" si="1"/>
        <v>0</v>
      </c>
    </row>
    <row r="90" spans="1:16">
      <c r="A90" s="3">
        <v>88</v>
      </c>
      <c r="B90" s="3" t="s">
        <v>4</v>
      </c>
      <c r="C90" s="3"/>
      <c r="D90" s="64"/>
      <c r="E90" s="64"/>
      <c r="F90" s="64"/>
      <c r="G90" s="64"/>
      <c r="H90" s="65"/>
      <c r="I90" s="65"/>
      <c r="J90" s="65"/>
      <c r="K90" s="65"/>
      <c r="L90" s="65"/>
      <c r="M90" s="65"/>
      <c r="N90" s="65"/>
      <c r="O90" s="65"/>
      <c r="P90" s="66">
        <f t="shared" si="1"/>
        <v>0</v>
      </c>
    </row>
    <row r="91" spans="1:16">
      <c r="A91" s="3">
        <v>89</v>
      </c>
      <c r="B91" s="3" t="s">
        <v>4</v>
      </c>
      <c r="C91" s="3"/>
      <c r="D91" s="64"/>
      <c r="E91" s="64"/>
      <c r="F91" s="64"/>
      <c r="G91" s="64"/>
      <c r="H91" s="65"/>
      <c r="I91" s="65"/>
      <c r="J91" s="65"/>
      <c r="K91" s="65"/>
      <c r="L91" s="65"/>
      <c r="M91" s="65"/>
      <c r="N91" s="65"/>
      <c r="O91" s="65"/>
      <c r="P91" s="66">
        <f t="shared" si="1"/>
        <v>0</v>
      </c>
    </row>
    <row r="92" spans="1:16">
      <c r="A92" s="3">
        <v>90</v>
      </c>
      <c r="B92" s="3" t="s">
        <v>4</v>
      </c>
      <c r="C92" s="3"/>
      <c r="D92" s="64"/>
      <c r="E92" s="64"/>
      <c r="F92" s="64"/>
      <c r="G92" s="64"/>
      <c r="H92" s="65"/>
      <c r="I92" s="65"/>
      <c r="J92" s="65"/>
      <c r="K92" s="65"/>
      <c r="L92" s="65"/>
      <c r="M92" s="65"/>
      <c r="N92" s="65"/>
      <c r="O92" s="65"/>
      <c r="P92" s="66">
        <f t="shared" si="1"/>
        <v>0</v>
      </c>
    </row>
    <row r="93" spans="1:16">
      <c r="A93" s="3">
        <v>91</v>
      </c>
      <c r="B93" s="3" t="s">
        <v>4</v>
      </c>
      <c r="C93" s="3"/>
      <c r="D93" s="64"/>
      <c r="E93" s="64"/>
      <c r="F93" s="64"/>
      <c r="G93" s="64"/>
      <c r="H93" s="65"/>
      <c r="I93" s="65"/>
      <c r="J93" s="65"/>
      <c r="K93" s="65"/>
      <c r="L93" s="65"/>
      <c r="M93" s="65"/>
      <c r="N93" s="65"/>
      <c r="O93" s="65"/>
      <c r="P93" s="66">
        <f t="shared" si="1"/>
        <v>0</v>
      </c>
    </row>
    <row r="94" spans="1:16">
      <c r="A94" s="3">
        <v>92</v>
      </c>
      <c r="B94" s="3" t="s">
        <v>4</v>
      </c>
      <c r="C94" s="3"/>
      <c r="D94" s="64"/>
      <c r="E94" s="64"/>
      <c r="F94" s="64"/>
      <c r="G94" s="64"/>
      <c r="H94" s="65"/>
      <c r="I94" s="65"/>
      <c r="J94" s="65"/>
      <c r="K94" s="65"/>
      <c r="L94" s="65"/>
      <c r="M94" s="65"/>
      <c r="N94" s="65"/>
      <c r="O94" s="65"/>
      <c r="P94" s="66">
        <f t="shared" si="1"/>
        <v>0</v>
      </c>
    </row>
    <row r="95" spans="1:16">
      <c r="A95" s="3">
        <v>93</v>
      </c>
      <c r="B95" s="3" t="s">
        <v>4</v>
      </c>
      <c r="C95" s="3"/>
      <c r="D95" s="64"/>
      <c r="E95" s="64"/>
      <c r="F95" s="64"/>
      <c r="G95" s="64"/>
      <c r="H95" s="65"/>
      <c r="I95" s="65"/>
      <c r="J95" s="65"/>
      <c r="K95" s="65"/>
      <c r="L95" s="65"/>
      <c r="M95" s="65"/>
      <c r="N95" s="65"/>
      <c r="O95" s="65"/>
      <c r="P95" s="66">
        <f t="shared" si="1"/>
        <v>0</v>
      </c>
    </row>
    <row r="96" spans="1:16">
      <c r="A96" s="3">
        <v>94</v>
      </c>
      <c r="B96" s="3" t="s">
        <v>4</v>
      </c>
      <c r="C96" s="3"/>
      <c r="D96" s="64"/>
      <c r="E96" s="64"/>
      <c r="F96" s="64"/>
      <c r="G96" s="64"/>
      <c r="H96" s="65"/>
      <c r="I96" s="65"/>
      <c r="J96" s="65"/>
      <c r="K96" s="65"/>
      <c r="L96" s="65"/>
      <c r="M96" s="65"/>
      <c r="N96" s="65"/>
      <c r="O96" s="65"/>
      <c r="P96" s="66">
        <f t="shared" si="1"/>
        <v>0</v>
      </c>
    </row>
    <row r="97" spans="1:16">
      <c r="A97" s="3">
        <v>95</v>
      </c>
      <c r="B97" s="3" t="s">
        <v>4</v>
      </c>
      <c r="C97" s="3"/>
      <c r="D97" s="64"/>
      <c r="E97" s="64"/>
      <c r="F97" s="64"/>
      <c r="G97" s="64"/>
      <c r="H97" s="65"/>
      <c r="I97" s="65"/>
      <c r="J97" s="65"/>
      <c r="K97" s="65"/>
      <c r="L97" s="65"/>
      <c r="M97" s="65"/>
      <c r="N97" s="65"/>
      <c r="O97" s="65"/>
      <c r="P97" s="66">
        <f t="shared" si="1"/>
        <v>0</v>
      </c>
    </row>
    <row r="98" spans="1:16"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6"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6"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6"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6"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6"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6"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6"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6"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6"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6"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6"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6"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6"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6"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="59" customFormat="1"/>
    <row r="114" s="59" customFormat="1"/>
    <row r="115" s="59" customFormat="1"/>
    <row r="116" s="59" customFormat="1"/>
    <row r="117" s="59" customFormat="1"/>
    <row r="118" s="59" customFormat="1"/>
    <row r="119" s="59" customFormat="1"/>
    <row r="120" s="59" customFormat="1"/>
    <row r="121" s="59" customFormat="1"/>
    <row r="122" s="59" customFormat="1"/>
    <row r="123" s="59" customFormat="1"/>
    <row r="124" s="59" customFormat="1"/>
    <row r="125" s="59" customFormat="1"/>
    <row r="126" s="59" customFormat="1"/>
    <row r="127" s="59" customFormat="1"/>
    <row r="128" s="59" customFormat="1"/>
    <row r="129" s="59" customFormat="1"/>
    <row r="130" s="59" customFormat="1"/>
    <row r="131" s="59" customFormat="1"/>
    <row r="132" s="59" customFormat="1"/>
    <row r="133" s="59" customFormat="1"/>
    <row r="134" s="59" customFormat="1"/>
    <row r="135" s="59" customFormat="1"/>
    <row r="136" s="59" customFormat="1"/>
    <row r="137" s="59" customFormat="1"/>
    <row r="138" s="59" customFormat="1"/>
    <row r="139" s="59" customFormat="1"/>
    <row r="140" s="59" customFormat="1"/>
    <row r="141" s="59" customFormat="1"/>
    <row r="142" s="59" customFormat="1"/>
    <row r="143" s="59" customFormat="1"/>
    <row r="144" s="59" customFormat="1"/>
    <row r="145" s="59" customFormat="1"/>
    <row r="146" s="59" customFormat="1"/>
    <row r="147" s="59" customFormat="1"/>
    <row r="148" s="59" customFormat="1"/>
    <row r="149" s="59" customFormat="1"/>
    <row r="150" s="59" customFormat="1"/>
    <row r="151" s="59" customFormat="1"/>
    <row r="152" s="59" customFormat="1"/>
    <row r="153" s="59" customFormat="1"/>
    <row r="154" s="59" customFormat="1"/>
    <row r="155" s="59" customFormat="1"/>
    <row r="156" s="59" customFormat="1"/>
    <row r="157" s="59" customFormat="1"/>
    <row r="158" s="59" customFormat="1"/>
    <row r="159" s="59" customFormat="1"/>
    <row r="160" s="59" customFormat="1"/>
    <row r="161" s="59" customFormat="1"/>
    <row r="162" s="59" customFormat="1"/>
    <row r="163" s="59" customFormat="1"/>
    <row r="164" s="59" customFormat="1"/>
    <row r="165" s="59" customFormat="1"/>
    <row r="166" s="59" customFormat="1"/>
    <row r="167" s="59" customFormat="1"/>
    <row r="168" s="59" customFormat="1"/>
    <row r="169" s="59" customFormat="1"/>
    <row r="170" s="59" customFormat="1"/>
    <row r="171" s="59" customFormat="1"/>
    <row r="172" s="59" customFormat="1"/>
    <row r="173" s="59" customFormat="1"/>
    <row r="174" s="59" customFormat="1"/>
    <row r="175" s="59" customFormat="1"/>
    <row r="176" s="59" customFormat="1"/>
    <row r="177" s="59" customFormat="1"/>
    <row r="178" s="59" customFormat="1"/>
    <row r="179" s="59" customFormat="1"/>
    <row r="180" s="59" customFormat="1"/>
    <row r="181" s="59" customFormat="1"/>
    <row r="182" s="59" customFormat="1"/>
    <row r="183" s="59" customFormat="1"/>
    <row r="184" s="59" customFormat="1"/>
    <row r="185" s="59" customFormat="1"/>
    <row r="186" s="59" customFormat="1"/>
    <row r="187" s="59" customFormat="1"/>
    <row r="188" s="59" customFormat="1"/>
    <row r="189" s="59" customFormat="1"/>
    <row r="190" s="59" customFormat="1"/>
    <row r="191" s="59" customFormat="1"/>
    <row r="192" s="59" customFormat="1"/>
    <row r="193" s="59" customFormat="1"/>
    <row r="194" s="59" customFormat="1"/>
    <row r="195" s="59" customFormat="1"/>
    <row r="196" s="59" customFormat="1"/>
    <row r="197" s="59" customFormat="1"/>
    <row r="198" s="59" customFormat="1"/>
    <row r="199" s="59" customFormat="1"/>
    <row r="200" s="59" customFormat="1"/>
    <row r="201" s="59" customFormat="1"/>
    <row r="202" s="59" customFormat="1"/>
    <row r="203" s="59" customFormat="1"/>
    <row r="204" s="59" customFormat="1"/>
    <row r="205" s="59" customFormat="1"/>
    <row r="206" s="59" customFormat="1"/>
    <row r="207" s="59" customFormat="1"/>
    <row r="208" s="59" customFormat="1"/>
    <row r="209" s="59" customFormat="1"/>
    <row r="210" s="59" customFormat="1"/>
    <row r="211" s="59" customFormat="1"/>
    <row r="212" s="59" customFormat="1"/>
    <row r="213" s="59" customFormat="1"/>
    <row r="214" s="59" customFormat="1"/>
    <row r="215" s="59" customFormat="1"/>
    <row r="216" s="59" customFormat="1"/>
    <row r="217" s="59" customFormat="1"/>
    <row r="218" s="59" customFormat="1"/>
    <row r="219" s="59" customFormat="1"/>
    <row r="220" s="59" customFormat="1"/>
    <row r="221" s="59" customFormat="1"/>
    <row r="222" s="59" customFormat="1"/>
    <row r="223" s="59" customFormat="1"/>
    <row r="224" s="59" customFormat="1"/>
    <row r="225" s="59" customFormat="1"/>
    <row r="226" s="59" customFormat="1"/>
    <row r="227" s="59" customFormat="1"/>
    <row r="228" s="59" customFormat="1"/>
    <row r="229" s="59" customFormat="1"/>
    <row r="230" s="59" customFormat="1"/>
    <row r="231" s="59" customFormat="1"/>
    <row r="232" s="59" customFormat="1"/>
    <row r="233" s="59" customFormat="1"/>
    <row r="234" s="59" customFormat="1"/>
    <row r="235" s="59" customFormat="1"/>
    <row r="236" s="59" customFormat="1"/>
    <row r="237" s="59" customFormat="1"/>
    <row r="238" s="59" customFormat="1"/>
    <row r="239" s="59" customFormat="1"/>
    <row r="240" s="59" customFormat="1"/>
    <row r="241" s="59" customFormat="1"/>
    <row r="242" s="59" customFormat="1"/>
    <row r="243" s="59" customFormat="1"/>
    <row r="244" s="59" customFormat="1"/>
    <row r="245" s="59" customFormat="1"/>
    <row r="246" s="59" customFormat="1"/>
    <row r="247" s="59" customFormat="1"/>
    <row r="248" s="59" customFormat="1"/>
    <row r="249" s="59" customFormat="1"/>
    <row r="250" s="59" customFormat="1"/>
    <row r="251" s="59" customFormat="1"/>
    <row r="252" s="59" customFormat="1"/>
    <row r="253" s="59" customFormat="1"/>
    <row r="254" s="59" customFormat="1"/>
    <row r="255" s="59" customFormat="1"/>
    <row r="256" s="59" customFormat="1"/>
    <row r="257" s="59" customFormat="1"/>
    <row r="258" s="59" customFormat="1"/>
    <row r="259" s="59" customFormat="1"/>
    <row r="260" s="59" customFormat="1"/>
    <row r="261" s="59" customFormat="1"/>
    <row r="262" s="59" customFormat="1"/>
    <row r="263" s="59" customFormat="1"/>
    <row r="264" s="59" customFormat="1"/>
    <row r="265" s="59" customFormat="1"/>
    <row r="266" s="59" customFormat="1"/>
    <row r="267" s="59" customFormat="1"/>
    <row r="268" s="59" customFormat="1"/>
    <row r="269" s="59" customFormat="1"/>
    <row r="270" s="59" customFormat="1"/>
    <row r="271" s="59" customFormat="1"/>
    <row r="272" s="59" customFormat="1"/>
    <row r="273" s="59" customFormat="1"/>
    <row r="274" s="59" customFormat="1"/>
    <row r="275" s="59" customFormat="1"/>
    <row r="276" s="59" customFormat="1"/>
    <row r="277" s="59" customFormat="1"/>
    <row r="278" s="59" customFormat="1"/>
    <row r="279" s="59" customFormat="1"/>
    <row r="280" s="59" customFormat="1"/>
    <row r="281" s="59" customFormat="1"/>
    <row r="282" s="59" customFormat="1"/>
    <row r="283" s="59" customFormat="1"/>
    <row r="284" s="59" customFormat="1"/>
    <row r="285" s="59" customFormat="1"/>
    <row r="286" s="59" customFormat="1"/>
    <row r="287" s="59" customFormat="1"/>
    <row r="288" s="59" customFormat="1"/>
    <row r="289" s="59" customFormat="1"/>
    <row r="290" s="59" customFormat="1"/>
    <row r="291" s="59" customFormat="1"/>
    <row r="292" s="59" customFormat="1"/>
    <row r="293" s="59" customFormat="1"/>
    <row r="294" s="59" customFormat="1"/>
    <row r="295" s="59" customFormat="1"/>
    <row r="296" s="59" customFormat="1"/>
    <row r="297" s="59" customFormat="1"/>
    <row r="298" s="59" customFormat="1"/>
    <row r="299" s="59" customFormat="1"/>
    <row r="300" s="59" customFormat="1"/>
    <row r="301" s="59" customFormat="1"/>
    <row r="302" s="59" customFormat="1"/>
    <row r="303" s="59" customFormat="1"/>
    <row r="304" s="59" customFormat="1"/>
    <row r="305" s="59" customFormat="1"/>
    <row r="306" s="59" customFormat="1"/>
    <row r="307" s="59" customFormat="1"/>
    <row r="308" s="59" customFormat="1"/>
    <row r="309" s="59" customFormat="1"/>
    <row r="310" s="59" customFormat="1"/>
    <row r="311" s="59" customFormat="1"/>
    <row r="312" s="59" customFormat="1"/>
    <row r="313" s="59" customFormat="1"/>
    <row r="314" s="59" customFormat="1"/>
    <row r="315" s="59" customFormat="1"/>
    <row r="316" s="59" customFormat="1"/>
    <row r="317" s="59" customFormat="1"/>
    <row r="318" s="59" customFormat="1"/>
    <row r="319" s="59" customFormat="1"/>
    <row r="320" s="59" customFormat="1"/>
    <row r="321" s="59" customFormat="1"/>
    <row r="322" s="59" customFormat="1"/>
    <row r="323" s="59" customFormat="1"/>
    <row r="324" s="59" customFormat="1"/>
    <row r="325" s="59" customFormat="1"/>
    <row r="326" s="59" customFormat="1"/>
    <row r="327" s="59" customFormat="1"/>
    <row r="328" s="59" customFormat="1"/>
    <row r="329" s="59" customFormat="1"/>
    <row r="330" s="59" customFormat="1"/>
    <row r="331" s="59" customFormat="1"/>
    <row r="332" s="59" customFormat="1"/>
    <row r="333" s="59" customFormat="1"/>
    <row r="334" s="59" customFormat="1"/>
    <row r="335" s="59" customFormat="1"/>
    <row r="336" s="59" customFormat="1"/>
    <row r="337" s="59" customFormat="1"/>
    <row r="338" s="59" customFormat="1"/>
    <row r="339" s="59" customFormat="1"/>
    <row r="340" s="59" customFormat="1"/>
    <row r="341" s="59" customFormat="1"/>
    <row r="342" s="59" customFormat="1"/>
    <row r="343" s="59" customFormat="1"/>
    <row r="344" s="59" customFormat="1"/>
    <row r="345" s="59" customFormat="1"/>
    <row r="346" s="59" customFormat="1"/>
    <row r="347" s="59" customFormat="1"/>
    <row r="348" s="59" customFormat="1"/>
    <row r="349" s="59" customFormat="1"/>
    <row r="350" s="59" customFormat="1"/>
    <row r="351" s="59" customFormat="1"/>
    <row r="352" s="59" customFormat="1"/>
    <row r="353" s="59" customForma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8FAC-AA78-41C0-9BF4-0D3B9752C4B5}">
  <dimension ref="A1:N11"/>
  <sheetViews>
    <sheetView zoomScale="85" zoomScaleNormal="85" workbookViewId="0">
      <selection activeCell="J5" sqref="J5"/>
    </sheetView>
  </sheetViews>
  <sheetFormatPr defaultRowHeight="16"/>
  <cols>
    <col min="1" max="16384" width="8.7265625" style="54"/>
  </cols>
  <sheetData>
    <row r="1" spans="1:14">
      <c r="A1" s="53" t="s">
        <v>305</v>
      </c>
      <c r="B1" s="53"/>
    </row>
    <row r="2" spans="1:14" ht="24.5" customHeight="1">
      <c r="A2" s="55" t="s">
        <v>162</v>
      </c>
      <c r="B2" s="55" t="s">
        <v>152</v>
      </c>
      <c r="C2" s="80" t="s">
        <v>42</v>
      </c>
      <c r="D2" s="80" t="s">
        <v>43</v>
      </c>
      <c r="E2" s="44" t="s">
        <v>47</v>
      </c>
      <c r="F2" s="44" t="s">
        <v>48</v>
      </c>
      <c r="G2" s="44" t="s">
        <v>144</v>
      </c>
      <c r="H2" s="44" t="s">
        <v>145</v>
      </c>
      <c r="I2" s="44" t="s">
        <v>146</v>
      </c>
      <c r="J2" s="44" t="s">
        <v>147</v>
      </c>
      <c r="K2" s="44" t="s">
        <v>148</v>
      </c>
      <c r="L2" s="44" t="s">
        <v>149</v>
      </c>
      <c r="M2" s="44" t="s">
        <v>150</v>
      </c>
      <c r="N2" s="44" t="s">
        <v>151</v>
      </c>
    </row>
    <row r="3" spans="1:14" ht="24.5" customHeight="1">
      <c r="A3" s="3" t="s">
        <v>2</v>
      </c>
      <c r="B3" s="3" t="s">
        <v>153</v>
      </c>
      <c r="C3" s="56">
        <v>0.81541193181818172</v>
      </c>
      <c r="D3" s="57">
        <v>0.79455492424242424</v>
      </c>
      <c r="E3" s="57">
        <v>0.9034801136363636</v>
      </c>
      <c r="F3" s="57">
        <v>0.78721590909090911</v>
      </c>
      <c r="G3" s="57"/>
      <c r="H3" s="58"/>
      <c r="I3" s="58"/>
      <c r="J3" s="58"/>
      <c r="K3" s="58"/>
      <c r="L3" s="58"/>
      <c r="M3" s="58"/>
      <c r="N3" s="58"/>
    </row>
    <row r="4" spans="1:14" ht="24.5" customHeight="1">
      <c r="A4" s="3" t="s">
        <v>2</v>
      </c>
      <c r="B4" s="3" t="s">
        <v>154</v>
      </c>
      <c r="C4" s="56">
        <v>1.0926294191919204</v>
      </c>
      <c r="D4" s="57">
        <v>1.0602982954545466</v>
      </c>
      <c r="E4" s="57">
        <v>1.0719854797979811</v>
      </c>
      <c r="F4" s="57">
        <v>1.0687815656565662</v>
      </c>
      <c r="G4" s="57"/>
      <c r="H4" s="58"/>
      <c r="I4" s="58"/>
      <c r="J4" s="58"/>
      <c r="K4" s="58"/>
      <c r="L4" s="58"/>
      <c r="M4" s="58"/>
      <c r="N4" s="58"/>
    </row>
    <row r="5" spans="1:14" ht="24.5" customHeight="1">
      <c r="A5" s="3" t="s">
        <v>2</v>
      </c>
      <c r="B5" s="3" t="s">
        <v>155</v>
      </c>
      <c r="C5" s="56">
        <v>0.95951704545454541</v>
      </c>
      <c r="D5" s="57">
        <v>1.034375</v>
      </c>
      <c r="E5" s="57">
        <v>1.1954703282828283</v>
      </c>
      <c r="F5" s="57">
        <v>1.353811553030303</v>
      </c>
      <c r="G5" s="57"/>
      <c r="H5" s="58"/>
      <c r="I5" s="58"/>
      <c r="J5" s="58"/>
      <c r="K5" s="58"/>
      <c r="L5" s="58"/>
      <c r="M5" s="58"/>
      <c r="N5" s="58"/>
    </row>
    <row r="6" spans="1:14" ht="24.5" customHeight="1">
      <c r="A6" s="3" t="s">
        <v>2</v>
      </c>
      <c r="B6" s="3" t="s">
        <v>156</v>
      </c>
      <c r="C6" s="56">
        <v>0.78371212121212119</v>
      </c>
      <c r="D6" s="57">
        <v>0.79348169191919193</v>
      </c>
      <c r="E6" s="57">
        <v>0.81051925505050493</v>
      </c>
      <c r="F6" s="57">
        <v>0.74292140151515151</v>
      </c>
      <c r="G6" s="57"/>
      <c r="H6" s="58"/>
      <c r="I6" s="58"/>
      <c r="J6" s="58"/>
      <c r="K6" s="58"/>
      <c r="L6" s="58"/>
      <c r="M6" s="58"/>
      <c r="N6" s="58"/>
    </row>
    <row r="7" spans="1:14" ht="24.5" customHeight="1">
      <c r="A7" s="3" t="s">
        <v>2</v>
      </c>
      <c r="B7" s="3" t="s">
        <v>157</v>
      </c>
      <c r="C7" s="56">
        <v>1.681344696969697</v>
      </c>
      <c r="D7" s="57">
        <v>1.556155303030303</v>
      </c>
      <c r="E7" s="57">
        <v>1.8897253787878787</v>
      </c>
      <c r="F7" s="57">
        <v>2.1298532196969697</v>
      </c>
      <c r="G7" s="57"/>
      <c r="H7" s="58"/>
      <c r="I7" s="58"/>
      <c r="J7" s="58"/>
      <c r="K7" s="58"/>
      <c r="L7" s="58"/>
      <c r="M7" s="58"/>
      <c r="N7" s="58"/>
    </row>
    <row r="8" spans="1:14" ht="24.5" customHeight="1">
      <c r="A8" s="3" t="s">
        <v>2</v>
      </c>
      <c r="B8" s="3" t="s">
        <v>158</v>
      </c>
      <c r="C8" s="56">
        <v>0.95852272727272725</v>
      </c>
      <c r="D8" s="57">
        <v>1.0760179924242423</v>
      </c>
      <c r="E8" s="57">
        <v>0.9447916666666667</v>
      </c>
      <c r="F8" s="57">
        <v>1.1360085227272727</v>
      </c>
      <c r="G8" s="57"/>
      <c r="H8" s="58"/>
      <c r="I8" s="58"/>
      <c r="J8" s="58"/>
      <c r="K8" s="58"/>
      <c r="L8" s="58"/>
      <c r="M8" s="58"/>
      <c r="N8" s="58"/>
    </row>
    <row r="9" spans="1:14" ht="24.5" customHeight="1">
      <c r="A9" s="3" t="s">
        <v>2</v>
      </c>
      <c r="B9" s="3" t="s">
        <v>159</v>
      </c>
      <c r="C9" s="56">
        <v>1.5947127525252518</v>
      </c>
      <c r="D9" s="57">
        <v>1.4549558080808076</v>
      </c>
      <c r="E9" s="57">
        <v>1.8606613005050507</v>
      </c>
      <c r="F9" s="57">
        <v>1.3066998106060597</v>
      </c>
      <c r="G9" s="57"/>
      <c r="H9" s="58"/>
      <c r="I9" s="58"/>
      <c r="J9" s="58"/>
      <c r="K9" s="58"/>
      <c r="L9" s="58"/>
      <c r="M9" s="58"/>
      <c r="N9" s="58"/>
    </row>
    <row r="10" spans="1:14" ht="24.5" customHeight="1">
      <c r="A10" s="3" t="s">
        <v>2</v>
      </c>
      <c r="B10" s="3" t="s">
        <v>160</v>
      </c>
      <c r="C10" s="56">
        <v>0.97215909090909092</v>
      </c>
      <c r="D10" s="57">
        <v>0.95999053030303039</v>
      </c>
      <c r="E10" s="57">
        <v>1.0148200757575756</v>
      </c>
      <c r="F10" s="57">
        <v>1.036813446969697</v>
      </c>
      <c r="G10" s="57"/>
      <c r="H10" s="58"/>
      <c r="I10" s="58"/>
      <c r="J10" s="58"/>
      <c r="K10" s="58"/>
      <c r="L10" s="58"/>
      <c r="M10" s="58"/>
      <c r="N10" s="58"/>
    </row>
    <row r="11" spans="1:14" ht="24.5" customHeight="1">
      <c r="A11" s="3" t="s">
        <v>2</v>
      </c>
      <c r="B11" s="3" t="s">
        <v>161</v>
      </c>
      <c r="C11" s="56">
        <v>1.3566287878787879</v>
      </c>
      <c r="D11" s="57">
        <v>1.3369318181818182</v>
      </c>
      <c r="E11" s="57">
        <v>1.470785984848485</v>
      </c>
      <c r="F11" s="57">
        <v>1.5597064393939393</v>
      </c>
      <c r="G11" s="57"/>
      <c r="H11" s="58"/>
      <c r="I11" s="58"/>
      <c r="J11" s="58"/>
      <c r="K11" s="58"/>
      <c r="L11" s="58"/>
      <c r="M11" s="58"/>
      <c r="N11" s="5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7A06-A2E4-4CC8-9045-1D086ED83B34}">
  <dimension ref="A1:O75"/>
  <sheetViews>
    <sheetView zoomScale="85" zoomScaleNormal="85" workbookViewId="0">
      <selection activeCell="E11" sqref="E11"/>
    </sheetView>
  </sheetViews>
  <sheetFormatPr defaultRowHeight="16"/>
  <cols>
    <col min="1" max="1" width="8.7265625" style="2"/>
    <col min="2" max="2" width="12" style="2" customWidth="1"/>
    <col min="3" max="16384" width="8.7265625" style="2"/>
  </cols>
  <sheetData>
    <row r="1" spans="1:15">
      <c r="A1" s="1" t="s">
        <v>306</v>
      </c>
    </row>
    <row r="2" spans="1:15" ht="23" customHeight="1">
      <c r="A2" s="44" t="s">
        <v>5</v>
      </c>
      <c r="B2" s="44" t="s">
        <v>163</v>
      </c>
      <c r="C2" s="80" t="s">
        <v>42</v>
      </c>
      <c r="D2" s="80" t="s">
        <v>43</v>
      </c>
      <c r="E2" s="44" t="s">
        <v>47</v>
      </c>
      <c r="F2" s="44" t="s">
        <v>48</v>
      </c>
      <c r="G2" s="44" t="s">
        <v>144</v>
      </c>
      <c r="H2" s="44" t="s">
        <v>145</v>
      </c>
      <c r="I2" s="44" t="s">
        <v>146</v>
      </c>
      <c r="J2" s="44" t="s">
        <v>147</v>
      </c>
      <c r="K2" s="44" t="s">
        <v>148</v>
      </c>
      <c r="L2" s="44" t="s">
        <v>149</v>
      </c>
      <c r="M2" s="44" t="s">
        <v>150</v>
      </c>
      <c r="N2" s="44" t="s">
        <v>151</v>
      </c>
      <c r="O2" s="45" t="s">
        <v>0</v>
      </c>
    </row>
    <row r="3" spans="1:15">
      <c r="A3" s="49" t="s">
        <v>2</v>
      </c>
      <c r="B3" s="49" t="s">
        <v>164</v>
      </c>
      <c r="C3" s="49">
        <v>24</v>
      </c>
      <c r="D3" s="49">
        <v>19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52">
        <f>IF(SUM(C3:N3)=0,"",SUM(C3:N3))</f>
        <v>43</v>
      </c>
    </row>
    <row r="4" spans="1:15">
      <c r="A4" s="49" t="s">
        <v>2</v>
      </c>
      <c r="B4" s="49" t="s">
        <v>165</v>
      </c>
      <c r="C4" s="49">
        <v>54</v>
      </c>
      <c r="D4" s="49">
        <v>66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52">
        <f t="shared" ref="O4:O67" si="0">IF(SUM(C4:N4)=0,"",SUM(C4:N4))</f>
        <v>120</v>
      </c>
    </row>
    <row r="5" spans="1:15">
      <c r="A5" s="49" t="s">
        <v>2</v>
      </c>
      <c r="B5" s="49" t="s">
        <v>166</v>
      </c>
      <c r="C5" s="49">
        <v>193</v>
      </c>
      <c r="D5" s="49">
        <v>175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52">
        <f t="shared" si="0"/>
        <v>368</v>
      </c>
    </row>
    <row r="6" spans="1:15">
      <c r="A6" s="49" t="s">
        <v>2</v>
      </c>
      <c r="B6" s="49" t="s">
        <v>167</v>
      </c>
      <c r="C6" s="49">
        <v>1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52">
        <f t="shared" si="0"/>
        <v>1</v>
      </c>
    </row>
    <row r="7" spans="1:15">
      <c r="A7" s="49" t="s">
        <v>2</v>
      </c>
      <c r="B7" s="49" t="s">
        <v>168</v>
      </c>
      <c r="C7" s="49">
        <v>21</v>
      </c>
      <c r="D7" s="49">
        <v>24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52">
        <f t="shared" si="0"/>
        <v>45</v>
      </c>
    </row>
    <row r="8" spans="1:15">
      <c r="A8" s="49" t="s">
        <v>2</v>
      </c>
      <c r="B8" s="49" t="s">
        <v>169</v>
      </c>
      <c r="C8" s="49">
        <v>1</v>
      </c>
      <c r="D8" s="49">
        <v>1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52">
        <f t="shared" si="0"/>
        <v>2</v>
      </c>
    </row>
    <row r="9" spans="1:15">
      <c r="A9" s="49" t="s">
        <v>2</v>
      </c>
      <c r="B9" s="49" t="s">
        <v>170</v>
      </c>
      <c r="C9" s="49">
        <v>70</v>
      </c>
      <c r="D9" s="49">
        <v>77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52">
        <f t="shared" si="0"/>
        <v>147</v>
      </c>
    </row>
    <row r="10" spans="1:15">
      <c r="A10" s="49" t="s">
        <v>2</v>
      </c>
      <c r="B10" s="49" t="s">
        <v>171</v>
      </c>
      <c r="C10" s="49"/>
      <c r="D10" s="49">
        <v>4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52">
        <f t="shared" si="0"/>
        <v>4</v>
      </c>
    </row>
    <row r="11" spans="1:15">
      <c r="A11" s="49" t="s">
        <v>2</v>
      </c>
      <c r="B11" s="49" t="s">
        <v>172</v>
      </c>
      <c r="C11" s="49">
        <v>113</v>
      </c>
      <c r="D11" s="49">
        <v>114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2">
        <f t="shared" si="0"/>
        <v>227</v>
      </c>
    </row>
    <row r="12" spans="1:15">
      <c r="A12" s="49" t="s">
        <v>2</v>
      </c>
      <c r="B12" s="49" t="s">
        <v>173</v>
      </c>
      <c r="C12" s="49">
        <v>12</v>
      </c>
      <c r="D12" s="49">
        <v>13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2">
        <f t="shared" si="0"/>
        <v>25</v>
      </c>
    </row>
    <row r="13" spans="1:15">
      <c r="A13" s="49" t="s">
        <v>2</v>
      </c>
      <c r="B13" s="49" t="s">
        <v>174</v>
      </c>
      <c r="C13" s="49">
        <v>166</v>
      </c>
      <c r="D13" s="49">
        <v>213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52">
        <f t="shared" si="0"/>
        <v>379</v>
      </c>
    </row>
    <row r="14" spans="1:15">
      <c r="A14" s="49" t="s">
        <v>2</v>
      </c>
      <c r="B14" s="49" t="s">
        <v>175</v>
      </c>
      <c r="C14" s="49"/>
      <c r="D14" s="49">
        <v>6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2">
        <f t="shared" si="0"/>
        <v>6</v>
      </c>
    </row>
    <row r="15" spans="1:15">
      <c r="A15" s="49" t="s">
        <v>2</v>
      </c>
      <c r="B15" s="49" t="s">
        <v>176</v>
      </c>
      <c r="C15" s="49">
        <v>162</v>
      </c>
      <c r="D15" s="49">
        <v>84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2">
        <f t="shared" si="0"/>
        <v>246</v>
      </c>
    </row>
    <row r="16" spans="1:15">
      <c r="A16" s="49" t="s">
        <v>2</v>
      </c>
      <c r="B16" s="49" t="s">
        <v>177</v>
      </c>
      <c r="C16" s="49">
        <v>195</v>
      </c>
      <c r="D16" s="49">
        <v>205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52">
        <f t="shared" si="0"/>
        <v>400</v>
      </c>
    </row>
    <row r="17" spans="1:15">
      <c r="A17" s="49" t="s">
        <v>2</v>
      </c>
      <c r="B17" s="49" t="s">
        <v>178</v>
      </c>
      <c r="C17" s="49">
        <v>15</v>
      </c>
      <c r="D17" s="49">
        <v>19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2">
        <f t="shared" si="0"/>
        <v>34</v>
      </c>
    </row>
    <row r="18" spans="1:15">
      <c r="A18" s="49" t="s">
        <v>2</v>
      </c>
      <c r="B18" s="49" t="s">
        <v>179</v>
      </c>
      <c r="C18" s="49">
        <v>3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2">
        <f t="shared" si="0"/>
        <v>3</v>
      </c>
    </row>
    <row r="19" spans="1:15">
      <c r="A19" s="49" t="s">
        <v>2</v>
      </c>
      <c r="B19" s="49" t="s">
        <v>180</v>
      </c>
      <c r="C19" s="49">
        <v>4</v>
      </c>
      <c r="D19" s="49">
        <v>4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2">
        <f t="shared" si="0"/>
        <v>8</v>
      </c>
    </row>
    <row r="20" spans="1:15">
      <c r="A20" s="49" t="s">
        <v>2</v>
      </c>
      <c r="B20" s="49" t="s">
        <v>181</v>
      </c>
      <c r="C20" s="49">
        <v>1</v>
      </c>
      <c r="D20" s="49">
        <v>2</v>
      </c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2">
        <f t="shared" si="0"/>
        <v>3</v>
      </c>
    </row>
    <row r="21" spans="1:15">
      <c r="A21" s="49" t="s">
        <v>2</v>
      </c>
      <c r="B21" s="49" t="s">
        <v>182</v>
      </c>
      <c r="C21" s="49">
        <v>1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2">
        <f t="shared" si="0"/>
        <v>1</v>
      </c>
    </row>
    <row r="22" spans="1:15">
      <c r="A22" s="49" t="s">
        <v>2</v>
      </c>
      <c r="B22" s="49" t="s">
        <v>183</v>
      </c>
      <c r="C22" s="49"/>
      <c r="D22" s="49">
        <v>1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2">
        <f t="shared" si="0"/>
        <v>1</v>
      </c>
    </row>
    <row r="23" spans="1:15">
      <c r="A23" s="49" t="s">
        <v>2</v>
      </c>
      <c r="B23" s="49" t="s">
        <v>184</v>
      </c>
      <c r="C23" s="49">
        <v>8</v>
      </c>
      <c r="D23" s="49">
        <v>6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2">
        <f t="shared" si="0"/>
        <v>14</v>
      </c>
    </row>
    <row r="24" spans="1:15">
      <c r="A24" s="49" t="s">
        <v>2</v>
      </c>
      <c r="B24" s="49" t="s">
        <v>185</v>
      </c>
      <c r="C24" s="49">
        <v>6</v>
      </c>
      <c r="D24" s="49">
        <v>6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2">
        <f t="shared" si="0"/>
        <v>12</v>
      </c>
    </row>
    <row r="25" spans="1:15">
      <c r="A25" s="49" t="s">
        <v>2</v>
      </c>
      <c r="B25" s="49" t="s">
        <v>186</v>
      </c>
      <c r="C25" s="49">
        <v>127</v>
      </c>
      <c r="D25" s="49">
        <v>136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2">
        <f t="shared" si="0"/>
        <v>263</v>
      </c>
    </row>
    <row r="26" spans="1:15">
      <c r="A26" s="49" t="s">
        <v>2</v>
      </c>
      <c r="B26" s="49" t="s">
        <v>187</v>
      </c>
      <c r="C26" s="49">
        <v>1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2">
        <f t="shared" si="0"/>
        <v>1</v>
      </c>
    </row>
    <row r="27" spans="1:15">
      <c r="A27" s="49" t="s">
        <v>2</v>
      </c>
      <c r="B27" s="49" t="s">
        <v>188</v>
      </c>
      <c r="C27" s="49">
        <v>19</v>
      </c>
      <c r="D27" s="49">
        <v>28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2">
        <f t="shared" si="0"/>
        <v>47</v>
      </c>
    </row>
    <row r="28" spans="1:15">
      <c r="A28" s="49" t="s">
        <v>2</v>
      </c>
      <c r="B28" s="49" t="s">
        <v>189</v>
      </c>
      <c r="C28" s="49">
        <v>2</v>
      </c>
      <c r="D28" s="49">
        <v>2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2">
        <f t="shared" si="0"/>
        <v>4</v>
      </c>
    </row>
    <row r="29" spans="1:15">
      <c r="A29" s="49" t="s">
        <v>2</v>
      </c>
      <c r="B29" s="49" t="s">
        <v>190</v>
      </c>
      <c r="C29" s="49">
        <v>18</v>
      </c>
      <c r="D29" s="49">
        <v>20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2">
        <f t="shared" si="0"/>
        <v>38</v>
      </c>
    </row>
    <row r="30" spans="1:15">
      <c r="A30" s="49" t="s">
        <v>2</v>
      </c>
      <c r="B30" s="49" t="s">
        <v>191</v>
      </c>
      <c r="C30" s="49"/>
      <c r="D30" s="49">
        <v>1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2">
        <f t="shared" si="0"/>
        <v>1</v>
      </c>
    </row>
    <row r="31" spans="1:15">
      <c r="A31" s="49" t="s">
        <v>2</v>
      </c>
      <c r="B31" s="49" t="s">
        <v>192</v>
      </c>
      <c r="C31" s="49">
        <v>61</v>
      </c>
      <c r="D31" s="49">
        <v>45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2">
        <f t="shared" si="0"/>
        <v>106</v>
      </c>
    </row>
    <row r="32" spans="1:15">
      <c r="A32" s="49" t="s">
        <v>2</v>
      </c>
      <c r="B32" s="49" t="s">
        <v>193</v>
      </c>
      <c r="C32" s="49">
        <v>8</v>
      </c>
      <c r="D32" s="49">
        <v>16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2">
        <f t="shared" si="0"/>
        <v>24</v>
      </c>
    </row>
    <row r="33" spans="1:15">
      <c r="A33" s="49" t="s">
        <v>2</v>
      </c>
      <c r="B33" s="49" t="s">
        <v>194</v>
      </c>
      <c r="C33" s="49">
        <v>1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2">
        <f t="shared" si="0"/>
        <v>1</v>
      </c>
    </row>
    <row r="34" spans="1:15">
      <c r="A34" s="49" t="s">
        <v>2</v>
      </c>
      <c r="B34" s="49" t="s">
        <v>195</v>
      </c>
      <c r="C34" s="49">
        <v>188</v>
      </c>
      <c r="D34" s="49">
        <v>287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2">
        <f t="shared" si="0"/>
        <v>475</v>
      </c>
    </row>
    <row r="35" spans="1:15">
      <c r="A35" s="49" t="s">
        <v>2</v>
      </c>
      <c r="B35" s="49" t="s">
        <v>196</v>
      </c>
      <c r="C35" s="49">
        <v>30</v>
      </c>
      <c r="D35" s="49">
        <v>15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52">
        <f t="shared" si="0"/>
        <v>45</v>
      </c>
    </row>
    <row r="36" spans="1:15">
      <c r="A36" s="49" t="s">
        <v>2</v>
      </c>
      <c r="B36" s="49" t="s">
        <v>197</v>
      </c>
      <c r="C36" s="49"/>
      <c r="D36" s="49">
        <v>1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52">
        <f t="shared" si="0"/>
        <v>1</v>
      </c>
    </row>
    <row r="37" spans="1:15">
      <c r="A37" s="49" t="s">
        <v>2</v>
      </c>
      <c r="B37" s="49" t="s">
        <v>198</v>
      </c>
      <c r="C37" s="49"/>
      <c r="D37" s="49">
        <v>2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52">
        <f t="shared" si="0"/>
        <v>2</v>
      </c>
    </row>
    <row r="38" spans="1:15">
      <c r="A38" s="49" t="s">
        <v>2</v>
      </c>
      <c r="B38" s="49" t="s">
        <v>199</v>
      </c>
      <c r="C38" s="49"/>
      <c r="D38" s="49">
        <v>1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52">
        <f t="shared" si="0"/>
        <v>1</v>
      </c>
    </row>
    <row r="39" spans="1:15">
      <c r="A39" s="49" t="s">
        <v>2</v>
      </c>
      <c r="B39" s="49" t="s">
        <v>200</v>
      </c>
      <c r="C39" s="49">
        <v>1</v>
      </c>
      <c r="D39" s="49">
        <v>2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2">
        <f t="shared" si="0"/>
        <v>3</v>
      </c>
    </row>
    <row r="40" spans="1:15">
      <c r="A40" s="49" t="s">
        <v>2</v>
      </c>
      <c r="B40" s="49" t="s">
        <v>201</v>
      </c>
      <c r="C40" s="49">
        <v>37</v>
      </c>
      <c r="D40" s="49">
        <v>33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52">
        <f t="shared" si="0"/>
        <v>70</v>
      </c>
    </row>
    <row r="41" spans="1:15">
      <c r="A41" s="49" t="s">
        <v>2</v>
      </c>
      <c r="B41" s="49" t="s">
        <v>202</v>
      </c>
      <c r="C41" s="49">
        <v>4</v>
      </c>
      <c r="D41" s="49">
        <v>1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52">
        <f t="shared" si="0"/>
        <v>5</v>
      </c>
    </row>
    <row r="42" spans="1:15">
      <c r="A42" s="49" t="s">
        <v>2</v>
      </c>
      <c r="B42" s="49" t="s">
        <v>203</v>
      </c>
      <c r="C42" s="49"/>
      <c r="D42" s="49">
        <v>1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52">
        <f t="shared" si="0"/>
        <v>1</v>
      </c>
    </row>
    <row r="43" spans="1:15">
      <c r="A43" s="49" t="s">
        <v>2</v>
      </c>
      <c r="B43" s="49" t="s">
        <v>204</v>
      </c>
      <c r="C43" s="49">
        <v>19</v>
      </c>
      <c r="D43" s="49">
        <v>11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52">
        <f t="shared" si="0"/>
        <v>30</v>
      </c>
    </row>
    <row r="44" spans="1:15">
      <c r="A44" s="49" t="s">
        <v>2</v>
      </c>
      <c r="B44" s="49" t="s">
        <v>205</v>
      </c>
      <c r="C44" s="49">
        <v>2</v>
      </c>
      <c r="D44" s="49">
        <v>1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52">
        <f t="shared" si="0"/>
        <v>3</v>
      </c>
    </row>
    <row r="45" spans="1:15">
      <c r="A45" s="49" t="s">
        <v>2</v>
      </c>
      <c r="B45" s="49" t="s">
        <v>206</v>
      </c>
      <c r="C45" s="49">
        <v>1</v>
      </c>
      <c r="D45" s="49">
        <v>2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52">
        <f t="shared" si="0"/>
        <v>3</v>
      </c>
    </row>
    <row r="46" spans="1:15">
      <c r="A46" s="49" t="s">
        <v>2</v>
      </c>
      <c r="B46" s="49" t="s">
        <v>207</v>
      </c>
      <c r="C46" s="49">
        <v>63</v>
      </c>
      <c r="D46" s="49">
        <v>68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52">
        <f t="shared" si="0"/>
        <v>131</v>
      </c>
    </row>
    <row r="47" spans="1:15">
      <c r="A47" s="49" t="s">
        <v>2</v>
      </c>
      <c r="B47" s="49" t="s">
        <v>208</v>
      </c>
      <c r="C47" s="49">
        <v>23</v>
      </c>
      <c r="D47" s="49">
        <v>18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52">
        <f t="shared" si="0"/>
        <v>41</v>
      </c>
    </row>
    <row r="48" spans="1:15">
      <c r="A48" s="49" t="s">
        <v>2</v>
      </c>
      <c r="B48" s="49" t="s">
        <v>209</v>
      </c>
      <c r="C48" s="49">
        <v>2</v>
      </c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52">
        <f t="shared" si="0"/>
        <v>2</v>
      </c>
    </row>
    <row r="49" spans="1:15">
      <c r="A49" s="49" t="s">
        <v>2</v>
      </c>
      <c r="B49" s="49" t="s">
        <v>210</v>
      </c>
      <c r="C49" s="49">
        <v>48</v>
      </c>
      <c r="D49" s="49">
        <v>59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52">
        <f t="shared" si="0"/>
        <v>107</v>
      </c>
    </row>
    <row r="50" spans="1:15">
      <c r="A50" s="49" t="s">
        <v>2</v>
      </c>
      <c r="B50" s="49" t="s">
        <v>211</v>
      </c>
      <c r="C50" s="49">
        <v>8</v>
      </c>
      <c r="D50" s="49">
        <v>10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52">
        <f t="shared" si="0"/>
        <v>18</v>
      </c>
    </row>
    <row r="51" spans="1:15">
      <c r="A51" s="49" t="s">
        <v>2</v>
      </c>
      <c r="B51" s="49" t="s">
        <v>212</v>
      </c>
      <c r="C51" s="49"/>
      <c r="D51" s="49">
        <v>1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52">
        <f t="shared" si="0"/>
        <v>1</v>
      </c>
    </row>
    <row r="52" spans="1:15">
      <c r="A52" s="49" t="s">
        <v>2</v>
      </c>
      <c r="B52" s="49" t="s">
        <v>213</v>
      </c>
      <c r="C52" s="49">
        <v>41</v>
      </c>
      <c r="D52" s="49">
        <v>24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52">
        <f t="shared" si="0"/>
        <v>65</v>
      </c>
    </row>
    <row r="53" spans="1:15">
      <c r="A53" s="49" t="s">
        <v>2</v>
      </c>
      <c r="B53" s="49" t="s">
        <v>214</v>
      </c>
      <c r="C53" s="49">
        <v>6</v>
      </c>
      <c r="D53" s="49">
        <v>19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52">
        <f t="shared" si="0"/>
        <v>25</v>
      </c>
    </row>
    <row r="54" spans="1:15">
      <c r="A54" s="49" t="s">
        <v>2</v>
      </c>
      <c r="B54" s="49" t="s">
        <v>215</v>
      </c>
      <c r="C54" s="49">
        <v>74</v>
      </c>
      <c r="D54" s="49">
        <v>77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52">
        <f t="shared" si="0"/>
        <v>151</v>
      </c>
    </row>
    <row r="55" spans="1:15">
      <c r="A55" s="49" t="s">
        <v>2</v>
      </c>
      <c r="B55" s="49" t="s">
        <v>216</v>
      </c>
      <c r="C55" s="49"/>
      <c r="D55" s="49">
        <v>3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52">
        <f t="shared" si="0"/>
        <v>3</v>
      </c>
    </row>
    <row r="56" spans="1:15">
      <c r="A56" s="49" t="s">
        <v>2</v>
      </c>
      <c r="B56" s="49" t="s">
        <v>217</v>
      </c>
      <c r="C56" s="49">
        <v>14</v>
      </c>
      <c r="D56" s="49">
        <v>14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52">
        <f t="shared" si="0"/>
        <v>28</v>
      </c>
    </row>
    <row r="57" spans="1:15">
      <c r="A57" s="49" t="s">
        <v>2</v>
      </c>
      <c r="B57" s="49" t="s">
        <v>218</v>
      </c>
      <c r="C57" s="49">
        <v>3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52">
        <f t="shared" si="0"/>
        <v>3</v>
      </c>
    </row>
    <row r="58" spans="1:15">
      <c r="A58" s="49" t="s">
        <v>2</v>
      </c>
      <c r="B58" s="49" t="s">
        <v>219</v>
      </c>
      <c r="C58" s="49">
        <v>34</v>
      </c>
      <c r="D58" s="49">
        <v>25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52">
        <f t="shared" si="0"/>
        <v>59</v>
      </c>
    </row>
    <row r="59" spans="1:15">
      <c r="A59" s="49" t="s">
        <v>2</v>
      </c>
      <c r="B59" s="49" t="s">
        <v>220</v>
      </c>
      <c r="C59" s="49">
        <v>50</v>
      </c>
      <c r="D59" s="49">
        <v>53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52">
        <f t="shared" si="0"/>
        <v>103</v>
      </c>
    </row>
    <row r="60" spans="1:15">
      <c r="A60" s="49" t="s">
        <v>2</v>
      </c>
      <c r="B60" s="49" t="s">
        <v>221</v>
      </c>
      <c r="C60" s="49">
        <v>106</v>
      </c>
      <c r="D60" s="49">
        <v>105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52">
        <f t="shared" si="0"/>
        <v>211</v>
      </c>
    </row>
    <row r="61" spans="1:15">
      <c r="A61" s="49" t="s">
        <v>2</v>
      </c>
      <c r="B61" s="49" t="s">
        <v>222</v>
      </c>
      <c r="C61" s="49">
        <v>52</v>
      </c>
      <c r="D61" s="49">
        <v>51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52">
        <f t="shared" si="0"/>
        <v>103</v>
      </c>
    </row>
    <row r="62" spans="1:15">
      <c r="A62" s="49" t="s">
        <v>2</v>
      </c>
      <c r="B62" s="49" t="s">
        <v>223</v>
      </c>
      <c r="C62" s="49">
        <v>4</v>
      </c>
      <c r="D62" s="49">
        <v>1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52">
        <f t="shared" si="0"/>
        <v>5</v>
      </c>
    </row>
    <row r="63" spans="1:15">
      <c r="A63" s="49" t="s">
        <v>2</v>
      </c>
      <c r="B63" s="49" t="s">
        <v>224</v>
      </c>
      <c r="C63" s="49">
        <v>38</v>
      </c>
      <c r="D63" s="49">
        <v>44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52">
        <f t="shared" si="0"/>
        <v>82</v>
      </c>
    </row>
    <row r="64" spans="1:15">
      <c r="A64" s="49" t="s">
        <v>2</v>
      </c>
      <c r="B64" s="49" t="s">
        <v>225</v>
      </c>
      <c r="C64" s="49">
        <v>1</v>
      </c>
      <c r="D64" s="49">
        <v>2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52">
        <f t="shared" si="0"/>
        <v>3</v>
      </c>
    </row>
    <row r="65" spans="1:15">
      <c r="A65" s="49" t="s">
        <v>2</v>
      </c>
      <c r="B65" s="49" t="s">
        <v>226</v>
      </c>
      <c r="C65" s="49">
        <v>24</v>
      </c>
      <c r="D65" s="49">
        <v>22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52">
        <f t="shared" si="0"/>
        <v>46</v>
      </c>
    </row>
    <row r="66" spans="1:15">
      <c r="A66" s="49" t="s">
        <v>2</v>
      </c>
      <c r="B66" s="49" t="s">
        <v>227</v>
      </c>
      <c r="C66" s="49">
        <v>4</v>
      </c>
      <c r="D66" s="49">
        <v>6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52">
        <f t="shared" si="0"/>
        <v>10</v>
      </c>
    </row>
    <row r="67" spans="1:15">
      <c r="A67" s="49" t="s">
        <v>2</v>
      </c>
      <c r="B67" s="49" t="s">
        <v>228</v>
      </c>
      <c r="C67" s="49">
        <v>43</v>
      </c>
      <c r="D67" s="49">
        <v>35</v>
      </c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52">
        <f t="shared" si="0"/>
        <v>78</v>
      </c>
    </row>
    <row r="68" spans="1:15">
      <c r="A68" s="49" t="s">
        <v>2</v>
      </c>
      <c r="B68" s="49" t="s">
        <v>229</v>
      </c>
      <c r="C68" s="49">
        <v>5</v>
      </c>
      <c r="D68" s="49">
        <v>11</v>
      </c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52">
        <f t="shared" ref="O68:O75" si="1">IF(SUM(C68:N68)=0,"",SUM(C68:N68))</f>
        <v>16</v>
      </c>
    </row>
    <row r="69" spans="1:15">
      <c r="A69" s="49" t="s">
        <v>2</v>
      </c>
      <c r="B69" s="49" t="s">
        <v>230</v>
      </c>
      <c r="C69" s="49">
        <v>10</v>
      </c>
      <c r="D69" s="49">
        <v>7</v>
      </c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52">
        <f t="shared" si="1"/>
        <v>17</v>
      </c>
    </row>
    <row r="70" spans="1:15">
      <c r="A70" s="49" t="s">
        <v>2</v>
      </c>
      <c r="B70" s="49" t="s">
        <v>231</v>
      </c>
      <c r="C70" s="49">
        <v>42</v>
      </c>
      <c r="D70" s="49">
        <v>43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52">
        <f t="shared" si="1"/>
        <v>85</v>
      </c>
    </row>
    <row r="71" spans="1:15">
      <c r="A71" s="49" t="s">
        <v>2</v>
      </c>
      <c r="B71" s="49" t="s">
        <v>232</v>
      </c>
      <c r="C71" s="49">
        <v>23</v>
      </c>
      <c r="D71" s="49">
        <v>20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52">
        <f t="shared" si="1"/>
        <v>43</v>
      </c>
    </row>
    <row r="72" spans="1:15">
      <c r="A72" s="49" t="s">
        <v>2</v>
      </c>
      <c r="B72" s="49" t="s">
        <v>233</v>
      </c>
      <c r="C72" s="49">
        <v>19</v>
      </c>
      <c r="D72" s="49">
        <v>17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52">
        <f t="shared" si="1"/>
        <v>36</v>
      </c>
    </row>
    <row r="73" spans="1:15">
      <c r="A73" s="49" t="s">
        <v>2</v>
      </c>
      <c r="B73" s="49" t="s">
        <v>234</v>
      </c>
      <c r="C73" s="49">
        <v>5</v>
      </c>
      <c r="D73" s="49">
        <v>5</v>
      </c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52">
        <f t="shared" si="1"/>
        <v>10</v>
      </c>
    </row>
    <row r="74" spans="1:15">
      <c r="A74" s="49" t="s">
        <v>2</v>
      </c>
      <c r="B74" s="49" t="s">
        <v>235</v>
      </c>
      <c r="C74" s="49"/>
      <c r="D74" s="49">
        <v>1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52">
        <f t="shared" si="1"/>
        <v>1</v>
      </c>
    </row>
    <row r="75" spans="1:15">
      <c r="A75" s="49" t="s">
        <v>2</v>
      </c>
      <c r="B75" s="49" t="s">
        <v>236</v>
      </c>
      <c r="C75" s="49">
        <v>31</v>
      </c>
      <c r="D75" s="49">
        <v>28</v>
      </c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52">
        <f t="shared" si="1"/>
        <v>59</v>
      </c>
    </row>
  </sheetData>
  <autoFilter ref="A2:O75" xr:uid="{71AC7A06-A2E4-4CC8-9045-1D086ED83B34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767F-9FD0-48C9-95BA-7FAE68492F91}">
  <dimension ref="A1:O9"/>
  <sheetViews>
    <sheetView workbookViewId="0">
      <selection activeCell="C2" sqref="C2:N2"/>
    </sheetView>
  </sheetViews>
  <sheetFormatPr defaultRowHeight="16"/>
  <cols>
    <col min="1" max="16384" width="8.7265625" style="43"/>
  </cols>
  <sheetData>
    <row r="1" spans="1:15">
      <c r="A1" s="42" t="s">
        <v>307</v>
      </c>
    </row>
    <row r="2" spans="1:15" ht="22" customHeight="1">
      <c r="A2" s="44" t="s">
        <v>5</v>
      </c>
      <c r="B2" s="44" t="s">
        <v>163</v>
      </c>
      <c r="C2" s="80" t="s">
        <v>42</v>
      </c>
      <c r="D2" s="80" t="s">
        <v>43</v>
      </c>
      <c r="E2" s="44" t="s">
        <v>47</v>
      </c>
      <c r="F2" s="44" t="s">
        <v>48</v>
      </c>
      <c r="G2" s="44" t="s">
        <v>144</v>
      </c>
      <c r="H2" s="44" t="s">
        <v>145</v>
      </c>
      <c r="I2" s="44" t="s">
        <v>146</v>
      </c>
      <c r="J2" s="44" t="s">
        <v>147</v>
      </c>
      <c r="K2" s="44" t="s">
        <v>148</v>
      </c>
      <c r="L2" s="44" t="s">
        <v>149</v>
      </c>
      <c r="M2" s="44" t="s">
        <v>150</v>
      </c>
      <c r="N2" s="44" t="s">
        <v>151</v>
      </c>
      <c r="O2" s="45" t="s">
        <v>0</v>
      </c>
    </row>
    <row r="3" spans="1:15">
      <c r="A3" s="46" t="s">
        <v>2</v>
      </c>
      <c r="B3" s="50" t="s">
        <v>237</v>
      </c>
      <c r="C3" s="46">
        <v>63</v>
      </c>
      <c r="D3" s="46">
        <v>48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51">
        <f>IF(SUM(C3:N3)=0,"",SUM(C3:N3))</f>
        <v>111</v>
      </c>
    </row>
    <row r="4" spans="1:15">
      <c r="A4" s="46" t="s">
        <v>2</v>
      </c>
      <c r="B4" s="50" t="s">
        <v>238</v>
      </c>
      <c r="C4" s="46"/>
      <c r="D4" s="46"/>
      <c r="E4" s="48"/>
      <c r="F4" s="48"/>
      <c r="G4" s="48"/>
      <c r="H4" s="48"/>
      <c r="I4" s="48"/>
      <c r="J4" s="48"/>
      <c r="K4" s="48"/>
      <c r="L4" s="48"/>
      <c r="M4" s="48"/>
      <c r="N4" s="48"/>
      <c r="O4" s="51" t="str">
        <f t="shared" ref="O4:O9" si="0">IF(SUM(C4:N4)=0,"",SUM(C4:N4))</f>
        <v/>
      </c>
    </row>
    <row r="5" spans="1:15">
      <c r="A5" s="46" t="s">
        <v>2</v>
      </c>
      <c r="B5" s="50" t="s">
        <v>239</v>
      </c>
      <c r="C5" s="46">
        <v>3</v>
      </c>
      <c r="D5" s="46">
        <v>3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51">
        <f t="shared" si="0"/>
        <v>6</v>
      </c>
    </row>
    <row r="6" spans="1:15">
      <c r="A6" s="46" t="s">
        <v>2</v>
      </c>
      <c r="B6" s="50" t="s">
        <v>240</v>
      </c>
      <c r="C6" s="46"/>
      <c r="D6" s="46"/>
      <c r="E6" s="48"/>
      <c r="F6" s="48"/>
      <c r="G6" s="48"/>
      <c r="H6" s="48"/>
      <c r="I6" s="48"/>
      <c r="J6" s="48"/>
      <c r="K6" s="48"/>
      <c r="L6" s="48"/>
      <c r="M6" s="48"/>
      <c r="N6" s="48"/>
      <c r="O6" s="51" t="str">
        <f t="shared" si="0"/>
        <v/>
      </c>
    </row>
    <row r="7" spans="1:15">
      <c r="A7" s="46" t="s">
        <v>2</v>
      </c>
      <c r="B7" s="50" t="s">
        <v>241</v>
      </c>
      <c r="C7" s="46"/>
      <c r="D7" s="46"/>
      <c r="E7" s="48"/>
      <c r="F7" s="48"/>
      <c r="G7" s="48"/>
      <c r="H7" s="48"/>
      <c r="I7" s="48"/>
      <c r="J7" s="48"/>
      <c r="K7" s="48"/>
      <c r="L7" s="48"/>
      <c r="M7" s="48"/>
      <c r="N7" s="48"/>
      <c r="O7" s="51" t="str">
        <f t="shared" si="0"/>
        <v/>
      </c>
    </row>
    <row r="8" spans="1:15">
      <c r="A8" s="46" t="s">
        <v>2</v>
      </c>
      <c r="B8" s="50" t="s">
        <v>242</v>
      </c>
      <c r="C8" s="46"/>
      <c r="D8" s="46"/>
      <c r="E8" s="48"/>
      <c r="F8" s="48"/>
      <c r="G8" s="48"/>
      <c r="H8" s="48"/>
      <c r="I8" s="48"/>
      <c r="J8" s="48"/>
      <c r="K8" s="48"/>
      <c r="L8" s="48"/>
      <c r="M8" s="48"/>
      <c r="N8" s="48"/>
      <c r="O8" s="51" t="str">
        <f t="shared" si="0"/>
        <v/>
      </c>
    </row>
    <row r="9" spans="1:15">
      <c r="A9" s="46" t="s">
        <v>2</v>
      </c>
      <c r="B9" s="50" t="s">
        <v>243</v>
      </c>
      <c r="C9" s="46"/>
      <c r="D9" s="46"/>
      <c r="E9" s="48"/>
      <c r="F9" s="48"/>
      <c r="G9" s="48"/>
      <c r="H9" s="48"/>
      <c r="I9" s="48"/>
      <c r="J9" s="48"/>
      <c r="K9" s="48"/>
      <c r="L9" s="48"/>
      <c r="M9" s="48"/>
      <c r="N9" s="48"/>
      <c r="O9" s="51" t="str">
        <f t="shared" si="0"/>
        <v/>
      </c>
    </row>
  </sheetData>
  <conditionalFormatting sqref="B3:B9">
    <cfRule type="duplicateValues" dxfId="5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CF0A-A464-4B26-B6F8-178B29BE8BAF}">
  <dimension ref="A1:O16"/>
  <sheetViews>
    <sheetView zoomScale="85" zoomScaleNormal="85" workbookViewId="0">
      <selection activeCell="C2" sqref="C2:N2"/>
    </sheetView>
  </sheetViews>
  <sheetFormatPr defaultRowHeight="16"/>
  <cols>
    <col min="1" max="16384" width="8.7265625" style="43"/>
  </cols>
  <sheetData>
    <row r="1" spans="1:15">
      <c r="A1" s="42" t="s">
        <v>308</v>
      </c>
    </row>
    <row r="2" spans="1:15" ht="22" customHeight="1">
      <c r="A2" s="44" t="s">
        <v>5</v>
      </c>
      <c r="B2" s="44" t="s">
        <v>163</v>
      </c>
      <c r="C2" s="80" t="s">
        <v>42</v>
      </c>
      <c r="D2" s="80" t="s">
        <v>43</v>
      </c>
      <c r="E2" s="44" t="s">
        <v>47</v>
      </c>
      <c r="F2" s="44" t="s">
        <v>48</v>
      </c>
      <c r="G2" s="44" t="s">
        <v>144</v>
      </c>
      <c r="H2" s="44" t="s">
        <v>145</v>
      </c>
      <c r="I2" s="44" t="s">
        <v>146</v>
      </c>
      <c r="J2" s="44" t="s">
        <v>147</v>
      </c>
      <c r="K2" s="44" t="s">
        <v>148</v>
      </c>
      <c r="L2" s="44" t="s">
        <v>149</v>
      </c>
      <c r="M2" s="44" t="s">
        <v>150</v>
      </c>
      <c r="N2" s="44" t="s">
        <v>151</v>
      </c>
      <c r="O2" s="45" t="s">
        <v>0</v>
      </c>
    </row>
    <row r="3" spans="1:15">
      <c r="A3" s="46" t="s">
        <v>2</v>
      </c>
      <c r="B3" s="47" t="s">
        <v>244</v>
      </c>
      <c r="C3" s="46">
        <v>13</v>
      </c>
      <c r="D3" s="46">
        <v>12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51">
        <f>IF(SUM(C3:N3)=0,"",SUM(C3:N3))</f>
        <v>25</v>
      </c>
    </row>
    <row r="4" spans="1:15">
      <c r="A4" s="46" t="s">
        <v>2</v>
      </c>
      <c r="B4" s="47" t="s">
        <v>245</v>
      </c>
      <c r="C4" s="46">
        <v>54</v>
      </c>
      <c r="D4" s="46">
        <v>63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51">
        <f t="shared" ref="O4:O16" si="0">IF(SUM(C4:N4)=0,"",SUM(C4:N4))</f>
        <v>117</v>
      </c>
    </row>
    <row r="5" spans="1:15">
      <c r="A5" s="46" t="s">
        <v>2</v>
      </c>
      <c r="B5" s="47" t="s">
        <v>246</v>
      </c>
      <c r="C5" s="46">
        <v>73</v>
      </c>
      <c r="D5" s="46">
        <v>90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51">
        <f t="shared" si="0"/>
        <v>163</v>
      </c>
    </row>
    <row r="6" spans="1:15">
      <c r="A6" s="46" t="s">
        <v>2</v>
      </c>
      <c r="B6" s="47" t="s">
        <v>247</v>
      </c>
      <c r="C6" s="49">
        <v>289</v>
      </c>
      <c r="D6" s="49">
        <v>295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51">
        <f t="shared" si="0"/>
        <v>584</v>
      </c>
    </row>
    <row r="7" spans="1:15">
      <c r="A7" s="46" t="s">
        <v>2</v>
      </c>
      <c r="B7" s="47" t="s">
        <v>248</v>
      </c>
      <c r="C7" s="46">
        <v>8</v>
      </c>
      <c r="D7" s="46">
        <v>6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51">
        <f t="shared" si="0"/>
        <v>14</v>
      </c>
    </row>
    <row r="8" spans="1:15">
      <c r="A8" s="46" t="s">
        <v>2</v>
      </c>
      <c r="B8" s="47" t="s">
        <v>249</v>
      </c>
      <c r="C8" s="46">
        <v>18</v>
      </c>
      <c r="D8" s="46">
        <v>22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51">
        <f t="shared" si="0"/>
        <v>40</v>
      </c>
    </row>
    <row r="9" spans="1:15">
      <c r="A9" s="46" t="s">
        <v>2</v>
      </c>
      <c r="B9" s="47" t="s">
        <v>250</v>
      </c>
      <c r="C9" s="46">
        <v>54</v>
      </c>
      <c r="D9" s="46">
        <v>64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51">
        <f t="shared" si="0"/>
        <v>118</v>
      </c>
    </row>
    <row r="10" spans="1:15">
      <c r="A10" s="46" t="s">
        <v>2</v>
      </c>
      <c r="B10" s="46" t="s">
        <v>251</v>
      </c>
      <c r="C10" s="46">
        <v>1166</v>
      </c>
      <c r="D10" s="46">
        <v>1202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1">
        <f t="shared" si="0"/>
        <v>2368</v>
      </c>
    </row>
    <row r="11" spans="1:15">
      <c r="A11" s="46" t="s">
        <v>2</v>
      </c>
      <c r="B11" s="46" t="s">
        <v>252</v>
      </c>
      <c r="C11" s="46">
        <v>129</v>
      </c>
      <c r="D11" s="46">
        <v>138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51">
        <f t="shared" si="0"/>
        <v>267</v>
      </c>
    </row>
    <row r="12" spans="1:15">
      <c r="A12" s="46" t="s">
        <v>2</v>
      </c>
      <c r="B12" s="46" t="s">
        <v>253</v>
      </c>
      <c r="C12" s="46">
        <v>7</v>
      </c>
      <c r="D12" s="46">
        <v>5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51">
        <f t="shared" si="0"/>
        <v>12</v>
      </c>
    </row>
    <row r="13" spans="1:15">
      <c r="A13" s="46" t="s">
        <v>2</v>
      </c>
      <c r="B13" s="47" t="s">
        <v>254</v>
      </c>
      <c r="C13" s="46"/>
      <c r="D13" s="46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1" t="str">
        <f t="shared" si="0"/>
        <v/>
      </c>
    </row>
    <row r="14" spans="1:15">
      <c r="A14" s="46" t="s">
        <v>2</v>
      </c>
      <c r="B14" s="47" t="s">
        <v>255</v>
      </c>
      <c r="C14" s="46">
        <v>37</v>
      </c>
      <c r="D14" s="46">
        <v>41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51">
        <f t="shared" si="0"/>
        <v>78</v>
      </c>
    </row>
    <row r="15" spans="1:15">
      <c r="A15" s="46" t="s">
        <v>2</v>
      </c>
      <c r="B15" s="47" t="s">
        <v>256</v>
      </c>
      <c r="C15" s="46"/>
      <c r="D15" s="46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51" t="str">
        <f t="shared" si="0"/>
        <v/>
      </c>
    </row>
    <row r="16" spans="1:15">
      <c r="A16" s="46" t="s">
        <v>2</v>
      </c>
      <c r="B16" s="47" t="s">
        <v>257</v>
      </c>
      <c r="C16" s="46">
        <v>1</v>
      </c>
      <c r="D16" s="46">
        <v>3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51">
        <f t="shared" si="0"/>
        <v>4</v>
      </c>
    </row>
  </sheetData>
  <conditionalFormatting sqref="B3:B4">
    <cfRule type="duplicateValues" dxfId="4" priority="3"/>
  </conditionalFormatting>
  <conditionalFormatting sqref="B9">
    <cfRule type="duplicateValues" dxfId="3" priority="2"/>
  </conditionalFormatting>
  <conditionalFormatting sqref="B13:B16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9D14-69F0-4B23-94C0-2C21A38E047A}">
  <dimension ref="A1:R1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M9" sqref="M9"/>
    </sheetView>
  </sheetViews>
  <sheetFormatPr defaultRowHeight="16"/>
  <cols>
    <col min="1" max="3" width="8.7265625" style="54"/>
    <col min="4" max="4" width="8.26953125" style="54" customWidth="1"/>
    <col min="5" max="5" width="40.54296875" style="54" bestFit="1" customWidth="1"/>
    <col min="6" max="17" width="8.1796875" style="54" customWidth="1"/>
    <col min="18" max="16384" width="8.7265625" style="54"/>
  </cols>
  <sheetData>
    <row r="1" spans="1:18">
      <c r="A1" s="53" t="s">
        <v>309</v>
      </c>
    </row>
    <row r="2" spans="1:18" s="2" customFormat="1" ht="18.75" customHeight="1">
      <c r="A2" s="6" t="s">
        <v>5</v>
      </c>
      <c r="B2" s="8" t="s">
        <v>266</v>
      </c>
      <c r="C2" s="8" t="s">
        <v>265</v>
      </c>
      <c r="D2" s="8" t="s">
        <v>273</v>
      </c>
      <c r="E2" s="8" t="s">
        <v>264</v>
      </c>
      <c r="F2" s="80" t="s">
        <v>42</v>
      </c>
      <c r="G2" s="80" t="s">
        <v>43</v>
      </c>
      <c r="H2" s="44" t="s">
        <v>47</v>
      </c>
      <c r="I2" s="44" t="s">
        <v>48</v>
      </c>
      <c r="J2" s="44" t="s">
        <v>144</v>
      </c>
      <c r="K2" s="44" t="s">
        <v>145</v>
      </c>
      <c r="L2" s="44" t="s">
        <v>146</v>
      </c>
      <c r="M2" s="44" t="s">
        <v>147</v>
      </c>
      <c r="N2" s="44" t="s">
        <v>148</v>
      </c>
      <c r="O2" s="44" t="s">
        <v>149</v>
      </c>
      <c r="P2" s="44" t="s">
        <v>150</v>
      </c>
      <c r="Q2" s="44" t="s">
        <v>151</v>
      </c>
      <c r="R2" s="45" t="s">
        <v>0</v>
      </c>
    </row>
    <row r="3" spans="1:18" ht="26.25" customHeight="1">
      <c r="A3" s="49" t="s">
        <v>2</v>
      </c>
      <c r="B3" s="47" t="s">
        <v>258</v>
      </c>
      <c r="C3" s="47" t="s">
        <v>38</v>
      </c>
      <c r="D3" s="47" t="s">
        <v>274</v>
      </c>
      <c r="E3" s="69" t="s">
        <v>267</v>
      </c>
      <c r="F3" s="70">
        <v>6</v>
      </c>
      <c r="G3" s="70">
        <v>10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73">
        <f>IF(SUM(F3:Q3)=0,"",SUM(F3:Q3))</f>
        <v>16</v>
      </c>
    </row>
    <row r="4" spans="1:18" ht="26.25" customHeight="1">
      <c r="A4" s="49" t="s">
        <v>2</v>
      </c>
      <c r="B4" s="47" t="s">
        <v>259</v>
      </c>
      <c r="C4" s="47" t="s">
        <v>38</v>
      </c>
      <c r="D4" s="47" t="s">
        <v>275</v>
      </c>
      <c r="E4" s="69" t="s">
        <v>268</v>
      </c>
      <c r="F4" s="70">
        <v>3</v>
      </c>
      <c r="G4" s="70">
        <v>2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3">
        <f t="shared" ref="R4:R16" si="0">IF(SUM(F4:Q4)=0,"",SUM(F4:Q4))</f>
        <v>5</v>
      </c>
    </row>
    <row r="5" spans="1:18" ht="26.25" customHeight="1">
      <c r="A5" s="49" t="s">
        <v>2</v>
      </c>
      <c r="B5" s="47" t="s">
        <v>263</v>
      </c>
      <c r="C5" s="47" t="s">
        <v>38</v>
      </c>
      <c r="D5" s="47" t="s">
        <v>274</v>
      </c>
      <c r="E5" s="69" t="s">
        <v>269</v>
      </c>
      <c r="F5" s="70">
        <v>1</v>
      </c>
      <c r="G5" s="70"/>
      <c r="H5" s="71"/>
      <c r="I5" s="71"/>
      <c r="J5" s="71"/>
      <c r="K5" s="71"/>
      <c r="L5" s="71"/>
      <c r="M5" s="71"/>
      <c r="N5" s="71"/>
      <c r="O5" s="71"/>
      <c r="P5" s="71"/>
      <c r="Q5" s="71"/>
      <c r="R5" s="73">
        <f t="shared" si="0"/>
        <v>1</v>
      </c>
    </row>
    <row r="6" spans="1:18" ht="26.25" customHeight="1">
      <c r="A6" s="49" t="s">
        <v>2</v>
      </c>
      <c r="B6" s="47" t="s">
        <v>262</v>
      </c>
      <c r="C6" s="47" t="s">
        <v>39</v>
      </c>
      <c r="D6" s="47" t="s">
        <v>276</v>
      </c>
      <c r="E6" s="69" t="s">
        <v>270</v>
      </c>
      <c r="F6" s="70">
        <f>59+4</f>
        <v>63</v>
      </c>
      <c r="G6" s="70">
        <f>59+4</f>
        <v>63</v>
      </c>
      <c r="H6" s="71"/>
      <c r="I6" s="71"/>
      <c r="J6" s="71"/>
      <c r="K6" s="71"/>
      <c r="L6" s="71"/>
      <c r="M6" s="71"/>
      <c r="N6" s="71"/>
      <c r="O6" s="71"/>
      <c r="P6" s="71"/>
      <c r="Q6" s="71"/>
      <c r="R6" s="73">
        <f t="shared" si="0"/>
        <v>126</v>
      </c>
    </row>
    <row r="7" spans="1:18" ht="26.25" customHeight="1">
      <c r="A7" s="49" t="s">
        <v>2</v>
      </c>
      <c r="B7" s="47" t="s">
        <v>261</v>
      </c>
      <c r="C7" s="47" t="s">
        <v>21</v>
      </c>
      <c r="D7" s="47" t="s">
        <v>275</v>
      </c>
      <c r="E7" s="69" t="s">
        <v>271</v>
      </c>
      <c r="F7" s="70">
        <v>6</v>
      </c>
      <c r="G7" s="70">
        <v>3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3">
        <f t="shared" si="0"/>
        <v>9</v>
      </c>
    </row>
    <row r="8" spans="1:18" ht="26.25" customHeight="1">
      <c r="A8" s="49" t="s">
        <v>2</v>
      </c>
      <c r="B8" s="47" t="s">
        <v>261</v>
      </c>
      <c r="C8" s="47" t="s">
        <v>21</v>
      </c>
      <c r="D8" s="47" t="s">
        <v>275</v>
      </c>
      <c r="E8" s="69" t="s">
        <v>271</v>
      </c>
      <c r="F8" s="70"/>
      <c r="G8" s="70"/>
      <c r="H8" s="71"/>
      <c r="I8" s="71"/>
      <c r="J8" s="71"/>
      <c r="K8" s="71"/>
      <c r="L8" s="71"/>
      <c r="M8" s="71"/>
      <c r="N8" s="71"/>
      <c r="O8" s="71"/>
      <c r="P8" s="71"/>
      <c r="Q8" s="71"/>
      <c r="R8" s="73" t="str">
        <f t="shared" si="0"/>
        <v/>
      </c>
    </row>
    <row r="9" spans="1:18" ht="26.25" customHeight="1">
      <c r="A9" s="49" t="s">
        <v>2</v>
      </c>
      <c r="B9" s="47" t="s">
        <v>261</v>
      </c>
      <c r="C9" s="47" t="s">
        <v>21</v>
      </c>
      <c r="D9" s="47" t="s">
        <v>275</v>
      </c>
      <c r="E9" s="69" t="s">
        <v>271</v>
      </c>
      <c r="F9" s="70">
        <v>19</v>
      </c>
      <c r="G9" s="70">
        <v>20</v>
      </c>
      <c r="H9" s="71"/>
      <c r="I9" s="71"/>
      <c r="J9" s="71"/>
      <c r="K9" s="71"/>
      <c r="L9" s="71"/>
      <c r="M9" s="71"/>
      <c r="N9" s="71"/>
      <c r="O9" s="71"/>
      <c r="P9" s="71"/>
      <c r="Q9" s="71"/>
      <c r="R9" s="73">
        <f t="shared" si="0"/>
        <v>39</v>
      </c>
    </row>
    <row r="10" spans="1:18" ht="26.25" customHeight="1">
      <c r="A10" s="49" t="s">
        <v>2</v>
      </c>
      <c r="B10" s="47" t="s">
        <v>261</v>
      </c>
      <c r="C10" s="47" t="s">
        <v>37</v>
      </c>
      <c r="D10" s="47" t="s">
        <v>275</v>
      </c>
      <c r="E10" s="69" t="s">
        <v>271</v>
      </c>
      <c r="F10" s="70">
        <v>47</v>
      </c>
      <c r="G10" s="70">
        <v>53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3">
        <f t="shared" si="0"/>
        <v>100</v>
      </c>
    </row>
    <row r="11" spans="1:18" ht="26.25" customHeight="1">
      <c r="A11" s="49" t="s">
        <v>2</v>
      </c>
      <c r="B11" s="47" t="s">
        <v>261</v>
      </c>
      <c r="C11" s="47" t="s">
        <v>20</v>
      </c>
      <c r="D11" s="47" t="s">
        <v>275</v>
      </c>
      <c r="E11" s="69" t="s">
        <v>271</v>
      </c>
      <c r="F11" s="70"/>
      <c r="G11" s="70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3" t="str">
        <f t="shared" si="0"/>
        <v/>
      </c>
    </row>
    <row r="12" spans="1:18" ht="26.25" customHeight="1">
      <c r="A12" s="49" t="s">
        <v>2</v>
      </c>
      <c r="B12" s="47" t="s">
        <v>260</v>
      </c>
      <c r="C12" s="47" t="s">
        <v>20</v>
      </c>
      <c r="D12" s="47" t="s">
        <v>274</v>
      </c>
      <c r="E12" s="69" t="s">
        <v>272</v>
      </c>
      <c r="F12" s="70">
        <v>1</v>
      </c>
      <c r="G12" s="70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3">
        <f t="shared" si="0"/>
        <v>1</v>
      </c>
    </row>
    <row r="13" spans="1:18" ht="26.25" customHeight="1">
      <c r="A13" s="49" t="s">
        <v>2</v>
      </c>
      <c r="B13" s="47" t="s">
        <v>260</v>
      </c>
      <c r="C13" s="47" t="s">
        <v>20</v>
      </c>
      <c r="D13" s="47" t="s">
        <v>274</v>
      </c>
      <c r="E13" s="69" t="s">
        <v>272</v>
      </c>
      <c r="F13" s="70">
        <v>1</v>
      </c>
      <c r="G13" s="70">
        <v>4</v>
      </c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3">
        <f t="shared" si="0"/>
        <v>5</v>
      </c>
    </row>
    <row r="14" spans="1:18" ht="26.25" customHeight="1">
      <c r="A14" s="49" t="s">
        <v>2</v>
      </c>
      <c r="B14" s="47" t="s">
        <v>260</v>
      </c>
      <c r="C14" s="47" t="s">
        <v>37</v>
      </c>
      <c r="D14" s="47" t="s">
        <v>274</v>
      </c>
      <c r="E14" s="69" t="s">
        <v>272</v>
      </c>
      <c r="F14" s="70">
        <v>3</v>
      </c>
      <c r="G14" s="70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3">
        <f t="shared" si="0"/>
        <v>3</v>
      </c>
    </row>
    <row r="15" spans="1:18" ht="26.25" customHeight="1">
      <c r="A15" s="49" t="s">
        <v>2</v>
      </c>
      <c r="B15" s="47" t="s">
        <v>260</v>
      </c>
      <c r="C15" s="47" t="s">
        <v>37</v>
      </c>
      <c r="D15" s="47" t="s">
        <v>274</v>
      </c>
      <c r="E15" s="69" t="s">
        <v>272</v>
      </c>
      <c r="F15" s="70">
        <v>1</v>
      </c>
      <c r="G15" s="70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3">
        <f t="shared" si="0"/>
        <v>1</v>
      </c>
    </row>
    <row r="16" spans="1:18" ht="26.25" customHeight="1">
      <c r="A16" s="49" t="s">
        <v>2</v>
      </c>
      <c r="B16" s="47" t="s">
        <v>260</v>
      </c>
      <c r="C16" s="47" t="s">
        <v>39</v>
      </c>
      <c r="D16" s="47" t="s">
        <v>274</v>
      </c>
      <c r="E16" s="69" t="s">
        <v>272</v>
      </c>
      <c r="F16" s="70">
        <v>2</v>
      </c>
      <c r="G16" s="70">
        <v>9</v>
      </c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3">
        <f t="shared" si="0"/>
        <v>11</v>
      </c>
    </row>
    <row r="17" spans="6:18"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</row>
    <row r="18" spans="6:18"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1BBA-69FC-4664-9019-7BC48CC71163}">
  <dimension ref="A1:B131"/>
  <sheetViews>
    <sheetView workbookViewId="0">
      <selection activeCell="F11" sqref="F11"/>
    </sheetView>
  </sheetViews>
  <sheetFormatPr defaultRowHeight="14.5"/>
  <cols>
    <col min="2" max="2" width="35" bestFit="1" customWidth="1"/>
  </cols>
  <sheetData>
    <row r="1" spans="1:2" s="82" customFormat="1">
      <c r="A1" s="82" t="s">
        <v>311</v>
      </c>
    </row>
    <row r="2" spans="1:2">
      <c r="A2" t="s">
        <v>530</v>
      </c>
    </row>
    <row r="9" spans="1:2">
      <c r="A9" s="84" t="s">
        <v>312</v>
      </c>
      <c r="B9" s="85"/>
    </row>
    <row r="10" spans="1:2">
      <c r="A10" s="86" t="s">
        <v>20</v>
      </c>
      <c r="B10" s="86" t="s">
        <v>313</v>
      </c>
    </row>
    <row r="11" spans="1:2">
      <c r="A11" s="86" t="s">
        <v>21</v>
      </c>
      <c r="B11" s="86" t="s">
        <v>314</v>
      </c>
    </row>
    <row r="12" spans="1:2">
      <c r="A12" s="86" t="s">
        <v>22</v>
      </c>
      <c r="B12" s="86" t="s">
        <v>315</v>
      </c>
    </row>
    <row r="13" spans="1:2">
      <c r="A13" s="87" t="s">
        <v>23</v>
      </c>
      <c r="B13" s="87"/>
    </row>
    <row r="14" spans="1:2">
      <c r="A14" s="87" t="s">
        <v>24</v>
      </c>
      <c r="B14" s="87"/>
    </row>
    <row r="15" spans="1:2">
      <c r="A15" s="87" t="s">
        <v>25</v>
      </c>
      <c r="B15" s="87"/>
    </row>
    <row r="16" spans="1:2">
      <c r="A16" s="86" t="s">
        <v>26</v>
      </c>
      <c r="B16" s="86" t="s">
        <v>316</v>
      </c>
    </row>
    <row r="17" spans="1:2">
      <c r="A17" s="86" t="s">
        <v>27</v>
      </c>
      <c r="B17" s="86" t="s">
        <v>317</v>
      </c>
    </row>
    <row r="18" spans="1:2">
      <c r="A18" s="86" t="s">
        <v>28</v>
      </c>
      <c r="B18" s="86" t="s">
        <v>318</v>
      </c>
    </row>
    <row r="19" spans="1:2">
      <c r="A19" s="86" t="s">
        <v>29</v>
      </c>
      <c r="B19" s="86" t="s">
        <v>319</v>
      </c>
    </row>
    <row r="20" spans="1:2">
      <c r="A20" s="86" t="s">
        <v>30</v>
      </c>
      <c r="B20" s="86" t="s">
        <v>320</v>
      </c>
    </row>
    <row r="21" spans="1:2">
      <c r="A21" s="88" t="s">
        <v>31</v>
      </c>
      <c r="B21" s="88" t="s">
        <v>321</v>
      </c>
    </row>
    <row r="22" spans="1:2">
      <c r="A22" s="88" t="s">
        <v>32</v>
      </c>
      <c r="B22" s="88" t="s">
        <v>322</v>
      </c>
    </row>
    <row r="23" spans="1:2">
      <c r="A23" s="89" t="s">
        <v>33</v>
      </c>
      <c r="B23" s="89" t="s">
        <v>323</v>
      </c>
    </row>
    <row r="24" spans="1:2">
      <c r="A24" s="88" t="s">
        <v>34</v>
      </c>
      <c r="B24" s="88" t="s">
        <v>324</v>
      </c>
    </row>
    <row r="25" spans="1:2">
      <c r="A25" s="88" t="s">
        <v>35</v>
      </c>
      <c r="B25" s="88" t="s">
        <v>325</v>
      </c>
    </row>
    <row r="28" spans="1:2">
      <c r="A28" s="90" t="s">
        <v>326</v>
      </c>
      <c r="B28" s="91"/>
    </row>
    <row r="29" spans="1:2">
      <c r="A29" s="92" t="s">
        <v>327</v>
      </c>
      <c r="B29" s="92" t="s">
        <v>328</v>
      </c>
    </row>
    <row r="30" spans="1:2">
      <c r="A30" s="92" t="s">
        <v>329</v>
      </c>
      <c r="B30" s="92" t="s">
        <v>330</v>
      </c>
    </row>
    <row r="31" spans="1:2">
      <c r="A31" s="92" t="s">
        <v>331</v>
      </c>
      <c r="B31" s="92" t="s">
        <v>332</v>
      </c>
    </row>
    <row r="32" spans="1:2">
      <c r="A32" s="92" t="s">
        <v>333</v>
      </c>
      <c r="B32" s="92" t="s">
        <v>334</v>
      </c>
    </row>
    <row r="33" spans="1:2">
      <c r="A33" s="92" t="s">
        <v>335</v>
      </c>
      <c r="B33" s="92" t="s">
        <v>336</v>
      </c>
    </row>
    <row r="34" spans="1:2">
      <c r="A34" s="92" t="s">
        <v>337</v>
      </c>
      <c r="B34" s="92" t="s">
        <v>338</v>
      </c>
    </row>
    <row r="35" spans="1:2">
      <c r="A35" s="92" t="s">
        <v>339</v>
      </c>
      <c r="B35" s="92" t="s">
        <v>340</v>
      </c>
    </row>
    <row r="36" spans="1:2">
      <c r="A36" s="92" t="s">
        <v>341</v>
      </c>
      <c r="B36" s="92" t="s">
        <v>342</v>
      </c>
    </row>
    <row r="37" spans="1:2">
      <c r="A37" s="92" t="s">
        <v>343</v>
      </c>
      <c r="B37" s="92" t="s">
        <v>344</v>
      </c>
    </row>
    <row r="38" spans="1:2">
      <c r="A38" s="92" t="s">
        <v>345</v>
      </c>
      <c r="B38" s="92" t="s">
        <v>346</v>
      </c>
    </row>
    <row r="39" spans="1:2">
      <c r="A39" s="92" t="s">
        <v>347</v>
      </c>
      <c r="B39" s="92" t="s">
        <v>348</v>
      </c>
    </row>
    <row r="40" spans="1:2">
      <c r="A40" s="92" t="s">
        <v>349</v>
      </c>
      <c r="B40" s="92" t="s">
        <v>350</v>
      </c>
    </row>
    <row r="41" spans="1:2">
      <c r="A41" s="92" t="s">
        <v>351</v>
      </c>
      <c r="B41" s="92" t="s">
        <v>352</v>
      </c>
    </row>
    <row r="42" spans="1:2">
      <c r="A42" s="92" t="s">
        <v>353</v>
      </c>
      <c r="B42" s="92" t="s">
        <v>354</v>
      </c>
    </row>
    <row r="43" spans="1:2">
      <c r="A43" s="92" t="s">
        <v>355</v>
      </c>
      <c r="B43" s="92" t="s">
        <v>356</v>
      </c>
    </row>
    <row r="44" spans="1:2">
      <c r="A44" s="92" t="s">
        <v>357</v>
      </c>
      <c r="B44" s="92" t="s">
        <v>358</v>
      </c>
    </row>
    <row r="45" spans="1:2">
      <c r="A45" s="92" t="s">
        <v>359</v>
      </c>
      <c r="B45" s="92" t="s">
        <v>360</v>
      </c>
    </row>
    <row r="46" spans="1:2">
      <c r="A46" s="92" t="s">
        <v>361</v>
      </c>
      <c r="B46" s="92" t="s">
        <v>362</v>
      </c>
    </row>
    <row r="47" spans="1:2">
      <c r="A47" s="92" t="s">
        <v>363</v>
      </c>
      <c r="B47" s="92" t="s">
        <v>364</v>
      </c>
    </row>
    <row r="48" spans="1:2">
      <c r="A48" s="92" t="s">
        <v>365</v>
      </c>
      <c r="B48" s="92" t="s">
        <v>366</v>
      </c>
    </row>
    <row r="49" spans="1:2">
      <c r="A49" s="92" t="s">
        <v>367</v>
      </c>
      <c r="B49" s="92" t="s">
        <v>368</v>
      </c>
    </row>
    <row r="50" spans="1:2">
      <c r="A50" s="92" t="s">
        <v>369</v>
      </c>
      <c r="B50" s="92" t="s">
        <v>370</v>
      </c>
    </row>
    <row r="51" spans="1:2">
      <c r="A51" s="92" t="s">
        <v>371</v>
      </c>
      <c r="B51" s="92" t="s">
        <v>372</v>
      </c>
    </row>
    <row r="52" spans="1:2">
      <c r="A52" s="92" t="s">
        <v>373</v>
      </c>
      <c r="B52" s="92" t="s">
        <v>374</v>
      </c>
    </row>
    <row r="53" spans="1:2">
      <c r="A53" s="92" t="s">
        <v>375</v>
      </c>
      <c r="B53" s="92" t="s">
        <v>376</v>
      </c>
    </row>
    <row r="54" spans="1:2">
      <c r="A54" s="92" t="s">
        <v>377</v>
      </c>
      <c r="B54" s="92" t="s">
        <v>378</v>
      </c>
    </row>
    <row r="55" spans="1:2">
      <c r="A55" s="92" t="s">
        <v>379</v>
      </c>
      <c r="B55" s="92" t="s">
        <v>380</v>
      </c>
    </row>
    <row r="56" spans="1:2">
      <c r="A56" s="92" t="s">
        <v>381</v>
      </c>
      <c r="B56" s="92" t="s">
        <v>382</v>
      </c>
    </row>
    <row r="57" spans="1:2">
      <c r="A57" s="92" t="s">
        <v>383</v>
      </c>
      <c r="B57" s="92" t="s">
        <v>384</v>
      </c>
    </row>
    <row r="58" spans="1:2">
      <c r="A58" s="92" t="s">
        <v>385</v>
      </c>
      <c r="B58" s="92" t="s">
        <v>386</v>
      </c>
    </row>
    <row r="59" spans="1:2">
      <c r="A59" s="92" t="s">
        <v>387</v>
      </c>
      <c r="B59" s="92" t="s">
        <v>388</v>
      </c>
    </row>
    <row r="60" spans="1:2">
      <c r="A60" s="92" t="s">
        <v>389</v>
      </c>
      <c r="B60" s="92" t="s">
        <v>390</v>
      </c>
    </row>
    <row r="61" spans="1:2">
      <c r="A61" s="92" t="s">
        <v>391</v>
      </c>
      <c r="B61" s="92" t="s">
        <v>392</v>
      </c>
    </row>
    <row r="62" spans="1:2">
      <c r="A62" s="92" t="s">
        <v>393</v>
      </c>
      <c r="B62" s="92" t="s">
        <v>394</v>
      </c>
    </row>
    <row r="63" spans="1:2">
      <c r="A63" s="92" t="s">
        <v>395</v>
      </c>
      <c r="B63" s="92" t="s">
        <v>396</v>
      </c>
    </row>
    <row r="64" spans="1:2">
      <c r="A64" s="92" t="s">
        <v>397</v>
      </c>
      <c r="B64" s="92" t="s">
        <v>398</v>
      </c>
    </row>
    <row r="65" spans="1:2">
      <c r="A65" s="92" t="s">
        <v>399</v>
      </c>
      <c r="B65" s="92" t="s">
        <v>400</v>
      </c>
    </row>
    <row r="66" spans="1:2">
      <c r="A66" s="92" t="s">
        <v>401</v>
      </c>
      <c r="B66" s="92" t="s">
        <v>402</v>
      </c>
    </row>
    <row r="67" spans="1:2">
      <c r="A67" s="92" t="s">
        <v>403</v>
      </c>
      <c r="B67" s="92" t="s">
        <v>404</v>
      </c>
    </row>
    <row r="68" spans="1:2">
      <c r="A68" s="92" t="s">
        <v>405</v>
      </c>
      <c r="B68" s="92" t="s">
        <v>406</v>
      </c>
    </row>
    <row r="69" spans="1:2">
      <c r="A69" s="92" t="s">
        <v>407</v>
      </c>
      <c r="B69" s="92" t="s">
        <v>408</v>
      </c>
    </row>
    <row r="70" spans="1:2">
      <c r="A70" s="92" t="s">
        <v>409</v>
      </c>
      <c r="B70" s="92" t="s">
        <v>410</v>
      </c>
    </row>
    <row r="71" spans="1:2">
      <c r="A71" s="92" t="s">
        <v>411</v>
      </c>
      <c r="B71" s="92" t="s">
        <v>412</v>
      </c>
    </row>
    <row r="72" spans="1:2">
      <c r="A72" s="92" t="s">
        <v>413</v>
      </c>
      <c r="B72" s="92" t="s">
        <v>414</v>
      </c>
    </row>
    <row r="73" spans="1:2">
      <c r="A73" s="92" t="s">
        <v>415</v>
      </c>
      <c r="B73" s="92" t="s">
        <v>416</v>
      </c>
    </row>
    <row r="74" spans="1:2">
      <c r="A74" s="92" t="s">
        <v>417</v>
      </c>
      <c r="B74" s="92" t="s">
        <v>418</v>
      </c>
    </row>
    <row r="75" spans="1:2">
      <c r="A75" s="92" t="s">
        <v>419</v>
      </c>
      <c r="B75" s="92" t="s">
        <v>420</v>
      </c>
    </row>
    <row r="76" spans="1:2">
      <c r="A76" s="92" t="s">
        <v>421</v>
      </c>
      <c r="B76" s="92" t="s">
        <v>422</v>
      </c>
    </row>
    <row r="77" spans="1:2">
      <c r="A77" s="93" t="s">
        <v>423</v>
      </c>
      <c r="B77" s="93" t="s">
        <v>424</v>
      </c>
    </row>
    <row r="78" spans="1:2">
      <c r="A78" s="92" t="s">
        <v>425</v>
      </c>
      <c r="B78" s="92" t="s">
        <v>426</v>
      </c>
    </row>
    <row r="79" spans="1:2">
      <c r="A79" s="92" t="s">
        <v>427</v>
      </c>
      <c r="B79" s="92" t="s">
        <v>428</v>
      </c>
    </row>
    <row r="80" spans="1:2">
      <c r="A80" s="92" t="s">
        <v>429</v>
      </c>
      <c r="B80" s="92" t="s">
        <v>430</v>
      </c>
    </row>
    <row r="81" spans="1:2">
      <c r="A81" s="93" t="s">
        <v>431</v>
      </c>
      <c r="B81" s="93" t="s">
        <v>432</v>
      </c>
    </row>
    <row r="82" spans="1:2">
      <c r="A82" s="94" t="s">
        <v>433</v>
      </c>
      <c r="B82" s="92" t="s">
        <v>434</v>
      </c>
    </row>
    <row r="83" spans="1:2">
      <c r="A83" s="94" t="s">
        <v>435</v>
      </c>
      <c r="B83" s="92" t="s">
        <v>436</v>
      </c>
    </row>
    <row r="84" spans="1:2">
      <c r="A84" s="94" t="s">
        <v>437</v>
      </c>
      <c r="B84" s="92" t="s">
        <v>438</v>
      </c>
    </row>
    <row r="85" spans="1:2">
      <c r="A85" s="94" t="s">
        <v>439</v>
      </c>
      <c r="B85" s="92" t="s">
        <v>440</v>
      </c>
    </row>
    <row r="86" spans="1:2">
      <c r="A86" s="94" t="s">
        <v>441</v>
      </c>
      <c r="B86" s="92" t="s">
        <v>442</v>
      </c>
    </row>
    <row r="87" spans="1:2">
      <c r="A87" s="94" t="s">
        <v>443</v>
      </c>
      <c r="B87" s="92" t="s">
        <v>444</v>
      </c>
    </row>
    <row r="88" spans="1:2">
      <c r="A88" s="94" t="s">
        <v>445</v>
      </c>
      <c r="B88" s="92" t="s">
        <v>446</v>
      </c>
    </row>
    <row r="89" spans="1:2">
      <c r="A89" s="94" t="s">
        <v>447</v>
      </c>
      <c r="B89" s="92" t="s">
        <v>448</v>
      </c>
    </row>
    <row r="90" spans="1:2">
      <c r="A90" s="94" t="s">
        <v>449</v>
      </c>
      <c r="B90" s="92" t="s">
        <v>450</v>
      </c>
    </row>
    <row r="91" spans="1:2">
      <c r="A91" s="94" t="s">
        <v>451</v>
      </c>
      <c r="B91" s="93" t="s">
        <v>452</v>
      </c>
    </row>
    <row r="92" spans="1:2">
      <c r="A92" s="93" t="s">
        <v>453</v>
      </c>
      <c r="B92" s="93" t="s">
        <v>454</v>
      </c>
    </row>
    <row r="93" spans="1:2">
      <c r="A93" s="93" t="s">
        <v>455</v>
      </c>
      <c r="B93" s="93" t="s">
        <v>456</v>
      </c>
    </row>
    <row r="94" spans="1:2">
      <c r="A94" s="93" t="s">
        <v>457</v>
      </c>
      <c r="B94" s="93" t="s">
        <v>458</v>
      </c>
    </row>
    <row r="95" spans="1:2">
      <c r="A95" s="93" t="s">
        <v>459</v>
      </c>
      <c r="B95" s="93" t="s">
        <v>460</v>
      </c>
    </row>
    <row r="96" spans="1:2">
      <c r="A96" s="93" t="s">
        <v>461</v>
      </c>
      <c r="B96" s="93" t="s">
        <v>462</v>
      </c>
    </row>
    <row r="97" spans="1:2">
      <c r="A97" s="93" t="s">
        <v>463</v>
      </c>
      <c r="B97" s="93" t="s">
        <v>464</v>
      </c>
    </row>
    <row r="98" spans="1:2">
      <c r="A98" s="93" t="s">
        <v>465</v>
      </c>
      <c r="B98" s="93" t="s">
        <v>466</v>
      </c>
    </row>
    <row r="99" spans="1:2">
      <c r="A99" s="93" t="s">
        <v>467</v>
      </c>
      <c r="B99" s="93" t="s">
        <v>468</v>
      </c>
    </row>
    <row r="100" spans="1:2">
      <c r="A100" s="93" t="s">
        <v>469</v>
      </c>
      <c r="B100" s="93" t="s">
        <v>470</v>
      </c>
    </row>
    <row r="101" spans="1:2">
      <c r="A101" s="93" t="s">
        <v>471</v>
      </c>
      <c r="B101" s="93" t="s">
        <v>472</v>
      </c>
    </row>
    <row r="102" spans="1:2">
      <c r="A102" s="93" t="s">
        <v>473</v>
      </c>
      <c r="B102" s="93" t="s">
        <v>474</v>
      </c>
    </row>
    <row r="103" spans="1:2">
      <c r="A103" s="93" t="s">
        <v>475</v>
      </c>
      <c r="B103" s="93" t="s">
        <v>476</v>
      </c>
    </row>
    <row r="104" spans="1:2">
      <c r="A104" s="93" t="s">
        <v>477</v>
      </c>
      <c r="B104" s="93" t="s">
        <v>478</v>
      </c>
    </row>
    <row r="105" spans="1:2">
      <c r="A105" s="93" t="s">
        <v>479</v>
      </c>
      <c r="B105" s="93" t="s">
        <v>480</v>
      </c>
    </row>
    <row r="106" spans="1:2">
      <c r="A106" s="93" t="s">
        <v>481</v>
      </c>
      <c r="B106" s="93" t="s">
        <v>482</v>
      </c>
    </row>
    <row r="107" spans="1:2">
      <c r="A107" s="93" t="s">
        <v>483</v>
      </c>
      <c r="B107" s="93" t="s">
        <v>484</v>
      </c>
    </row>
    <row r="108" spans="1:2">
      <c r="A108" s="93" t="s">
        <v>485</v>
      </c>
      <c r="B108" s="93" t="s">
        <v>486</v>
      </c>
    </row>
    <row r="109" spans="1:2">
      <c r="A109" s="93" t="s">
        <v>487</v>
      </c>
      <c r="B109" s="93" t="s">
        <v>488</v>
      </c>
    </row>
    <row r="110" spans="1:2">
      <c r="A110" s="93" t="s">
        <v>489</v>
      </c>
      <c r="B110" s="93" t="s">
        <v>490</v>
      </c>
    </row>
    <row r="111" spans="1:2">
      <c r="A111" s="93" t="s">
        <v>491</v>
      </c>
      <c r="B111" s="93" t="s">
        <v>492</v>
      </c>
    </row>
    <row r="112" spans="1:2">
      <c r="A112" s="93" t="s">
        <v>493</v>
      </c>
      <c r="B112" s="93" t="s">
        <v>494</v>
      </c>
    </row>
    <row r="113" spans="1:2">
      <c r="A113" s="93" t="s">
        <v>495</v>
      </c>
      <c r="B113" s="93" t="s">
        <v>496</v>
      </c>
    </row>
    <row r="114" spans="1:2">
      <c r="A114" s="93" t="s">
        <v>497</v>
      </c>
      <c r="B114" s="93" t="s">
        <v>498</v>
      </c>
    </row>
    <row r="115" spans="1:2">
      <c r="A115" s="93" t="s">
        <v>499</v>
      </c>
      <c r="B115" s="93" t="s">
        <v>500</v>
      </c>
    </row>
    <row r="116" spans="1:2">
      <c r="A116" s="93" t="s">
        <v>501</v>
      </c>
      <c r="B116" s="93" t="s">
        <v>502</v>
      </c>
    </row>
    <row r="117" spans="1:2">
      <c r="A117" s="93" t="s">
        <v>503</v>
      </c>
      <c r="B117" s="93" t="s">
        <v>504</v>
      </c>
    </row>
    <row r="118" spans="1:2">
      <c r="A118" s="93" t="s">
        <v>505</v>
      </c>
      <c r="B118" s="93" t="s">
        <v>506</v>
      </c>
    </row>
    <row r="119" spans="1:2">
      <c r="A119" s="93" t="s">
        <v>507</v>
      </c>
      <c r="B119" s="93" t="s">
        <v>508</v>
      </c>
    </row>
    <row r="120" spans="1:2">
      <c r="A120" s="93" t="s">
        <v>509</v>
      </c>
      <c r="B120" s="93" t="s">
        <v>510</v>
      </c>
    </row>
    <row r="121" spans="1:2">
      <c r="A121" s="93" t="s">
        <v>511</v>
      </c>
      <c r="B121" s="93" t="s">
        <v>512</v>
      </c>
    </row>
    <row r="122" spans="1:2">
      <c r="A122" s="93" t="s">
        <v>513</v>
      </c>
      <c r="B122" s="93" t="s">
        <v>514</v>
      </c>
    </row>
    <row r="123" spans="1:2">
      <c r="A123" s="93" t="s">
        <v>515</v>
      </c>
      <c r="B123" s="93" t="s">
        <v>516</v>
      </c>
    </row>
    <row r="124" spans="1:2">
      <c r="A124" s="93" t="s">
        <v>517</v>
      </c>
      <c r="B124" s="93" t="s">
        <v>518</v>
      </c>
    </row>
    <row r="125" spans="1:2">
      <c r="A125" s="93" t="s">
        <v>519</v>
      </c>
      <c r="B125" s="93" t="s">
        <v>520</v>
      </c>
    </row>
    <row r="126" spans="1:2">
      <c r="A126" s="93" t="s">
        <v>521</v>
      </c>
      <c r="B126" s="93" t="s">
        <v>522</v>
      </c>
    </row>
    <row r="127" spans="1:2">
      <c r="A127" s="93" t="s">
        <v>523</v>
      </c>
      <c r="B127" s="93" t="s">
        <v>524</v>
      </c>
    </row>
    <row r="128" spans="1:2">
      <c r="A128" s="92" t="s">
        <v>525</v>
      </c>
      <c r="B128" s="95" t="s">
        <v>526</v>
      </c>
    </row>
    <row r="129" spans="1:2">
      <c r="A129" s="93" t="s">
        <v>527</v>
      </c>
      <c r="B129" s="95" t="s">
        <v>526</v>
      </c>
    </row>
    <row r="130" spans="1:2">
      <c r="A130" s="93" t="s">
        <v>528</v>
      </c>
      <c r="B130" s="95" t="s">
        <v>526</v>
      </c>
    </row>
    <row r="131" spans="1:2">
      <c r="A131" s="93" t="s">
        <v>529</v>
      </c>
      <c r="B131" s="95" t="s">
        <v>526</v>
      </c>
    </row>
  </sheetData>
  <conditionalFormatting sqref="A128">
    <cfRule type="duplicateValues" dxfId="1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HC</vt:lpstr>
      <vt:lpstr>BU allocation</vt:lpstr>
      <vt:lpstr>Shipment volume</vt:lpstr>
      <vt:lpstr>Customer Volume-N&amp;S</vt:lpstr>
      <vt:lpstr>Customer Volume - HAD</vt:lpstr>
      <vt:lpstr>Customer Volume - HAN</vt:lpstr>
      <vt:lpstr>Customer Volume - HLC</vt:lpstr>
      <vt:lpstr>Customer Volume - HCM</vt:lpstr>
      <vt:lpstr>CS FTE</vt:lpstr>
      <vt:lpstr>C</vt:lpstr>
      <vt:lpstr>A</vt:lpstr>
      <vt:lpstr>S</vt:lpstr>
      <vt:lpstr>E</vt:lpstr>
      <vt:lpstr>Ghi chú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thuhuong.ngo(YLVN)</dc:creator>
  <cp:lastModifiedBy>nguyenbich.ngoc(YLVN)</cp:lastModifiedBy>
  <dcterms:created xsi:type="dcterms:W3CDTF">2026-08-07T06:32:50Z</dcterms:created>
  <dcterms:modified xsi:type="dcterms:W3CDTF">2026-08-09T14:43:52Z</dcterms:modified>
</cp:coreProperties>
</file>