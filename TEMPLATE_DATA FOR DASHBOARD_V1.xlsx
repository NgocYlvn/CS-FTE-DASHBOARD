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nykgroup-my.sharepoint.com/personal/nguyenbich_ngoc_nykgroup_com/Documents/CS standard time_Claude/"/>
    </mc:Choice>
  </mc:AlternateContent>
  <xr:revisionPtr revIDLastSave="985" documentId="8_{F9537D5D-B12A-4A4C-AF40-128E8D45C306}" xr6:coauthVersionLast="47" xr6:coauthVersionMax="47" xr10:uidLastSave="{9D2C4F31-FA0F-4217-8291-878E0A1E0CE8}"/>
  <bookViews>
    <workbookView xWindow="-110" yWindow="-110" windowWidth="19420" windowHeight="10300" tabRatio="745" activeTab="1" xr2:uid="{E21F554E-3F05-4DDC-8BE4-80952248A30F}"/>
  </bookViews>
  <sheets>
    <sheet name="HC" sheetId="1" r:id="rId1"/>
    <sheet name="BU allocation" sheetId="5" r:id="rId2"/>
    <sheet name="Shipment volume" sheetId="2" r:id="rId3"/>
    <sheet name="Customer Volume-N&amp;S" sheetId="6" r:id="rId4"/>
    <sheet name="Customer Volume - HAD" sheetId="16" state="hidden" r:id="rId5"/>
    <sheet name="Customer Volume - HAN" sheetId="17" state="hidden" r:id="rId6"/>
    <sheet name="Customer Volume - HLC" sheetId="18" state="hidden" r:id="rId7"/>
    <sheet name="Customer Volume - HCM" sheetId="19" state="hidden" r:id="rId8"/>
    <sheet name="CS FTE" sheetId="10" r:id="rId9"/>
    <sheet name="C" sheetId="11" r:id="rId10"/>
    <sheet name="A" sheetId="12" r:id="rId11"/>
    <sheet name="S" sheetId="13" r:id="rId12"/>
    <sheet name="E" sheetId="14" r:id="rId13"/>
    <sheet name="Ghi chú" sheetId="20" r:id="rId14"/>
  </sheets>
  <definedNames>
    <definedName name="_xlnm._FilterDatabase" localSheetId="9" hidden="1">'C'!$A$2:$O$75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M20" i="5" l="1"/>
  <c r="M21" i="5"/>
  <c r="M22" i="5"/>
  <c r="M23" i="5"/>
  <c r="M24" i="5"/>
  <c r="M25" i="5"/>
  <c r="M26" i="5"/>
  <c r="M27" i="5"/>
  <c r="M28" i="5"/>
  <c r="M29" i="5"/>
  <c r="M30" i="5"/>
  <c r="M31" i="5"/>
  <c r="M32" i="5"/>
  <c r="M33" i="5"/>
  <c r="M34" i="5"/>
  <c r="M35" i="5"/>
  <c r="M36" i="5"/>
  <c r="M37" i="5"/>
  <c r="M38" i="5"/>
  <c r="M39" i="5"/>
  <c r="M40" i="5"/>
  <c r="M41" i="5"/>
  <c r="M42" i="5"/>
  <c r="M43" i="5"/>
  <c r="M44" i="5"/>
  <c r="M17" i="5"/>
  <c r="M18" i="5"/>
  <c r="M19" i="5"/>
  <c r="M6" i="5"/>
  <c r="M4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3" i="5"/>
  <c r="R4" i="14"/>
  <c r="R5" i="14"/>
  <c r="R6" i="14"/>
  <c r="R7" i="14"/>
  <c r="R8" i="14"/>
  <c r="R9" i="14"/>
  <c r="R10" i="14"/>
  <c r="R11" i="14"/>
  <c r="R12" i="14"/>
  <c r="R13" i="14"/>
  <c r="R14" i="14"/>
  <c r="R15" i="14"/>
  <c r="R16" i="14"/>
  <c r="R3" i="14"/>
  <c r="O3" i="13"/>
  <c r="O4" i="13"/>
  <c r="O5" i="13"/>
  <c r="O6" i="13"/>
  <c r="O7" i="13"/>
  <c r="O8" i="13"/>
  <c r="O9" i="13"/>
  <c r="O10" i="13"/>
  <c r="O11" i="13"/>
  <c r="O12" i="13"/>
  <c r="O13" i="13"/>
  <c r="O14" i="13"/>
  <c r="O15" i="13"/>
  <c r="O16" i="13"/>
  <c r="O3" i="12"/>
  <c r="O4" i="12"/>
  <c r="O5" i="12"/>
  <c r="O6" i="12"/>
  <c r="O7" i="12"/>
  <c r="O8" i="12"/>
  <c r="O9" i="12"/>
  <c r="O4" i="11"/>
  <c r="O5" i="11"/>
  <c r="O6" i="11"/>
  <c r="O7" i="11"/>
  <c r="O8" i="11"/>
  <c r="O9" i="11"/>
  <c r="O10" i="11"/>
  <c r="O11" i="11"/>
  <c r="O12" i="11"/>
  <c r="O13" i="11"/>
  <c r="O14" i="11"/>
  <c r="O15" i="11"/>
  <c r="O16" i="11"/>
  <c r="O17" i="11"/>
  <c r="O18" i="11"/>
  <c r="O19" i="11"/>
  <c r="O20" i="11"/>
  <c r="O21" i="11"/>
  <c r="O22" i="11"/>
  <c r="O23" i="11"/>
  <c r="O24" i="11"/>
  <c r="O25" i="11"/>
  <c r="O26" i="11"/>
  <c r="O27" i="11"/>
  <c r="O28" i="11"/>
  <c r="O29" i="11"/>
  <c r="O30" i="11"/>
  <c r="O31" i="11"/>
  <c r="O32" i="11"/>
  <c r="O33" i="11"/>
  <c r="O34" i="11"/>
  <c r="O35" i="11"/>
  <c r="O36" i="11"/>
  <c r="O37" i="11"/>
  <c r="O38" i="11"/>
  <c r="O39" i="11"/>
  <c r="O40" i="11"/>
  <c r="O41" i="11"/>
  <c r="O42" i="11"/>
  <c r="O43" i="11"/>
  <c r="O44" i="11"/>
  <c r="O45" i="11"/>
  <c r="O46" i="11"/>
  <c r="O47" i="11"/>
  <c r="O48" i="11"/>
  <c r="O49" i="11"/>
  <c r="O50" i="11"/>
  <c r="O51" i="11"/>
  <c r="O52" i="11"/>
  <c r="O53" i="11"/>
  <c r="O54" i="11"/>
  <c r="O55" i="11"/>
  <c r="O56" i="11"/>
  <c r="O57" i="11"/>
  <c r="O58" i="11"/>
  <c r="O59" i="11"/>
  <c r="O60" i="11"/>
  <c r="O61" i="11"/>
  <c r="O62" i="11"/>
  <c r="O63" i="11"/>
  <c r="O64" i="11"/>
  <c r="O65" i="11"/>
  <c r="O66" i="11"/>
  <c r="O67" i="11"/>
  <c r="O68" i="11"/>
  <c r="O69" i="11"/>
  <c r="O70" i="11"/>
  <c r="O71" i="11"/>
  <c r="O72" i="11"/>
  <c r="O73" i="11"/>
  <c r="O74" i="11"/>
  <c r="O75" i="11"/>
  <c r="P97" i="19"/>
  <c r="P96" i="19"/>
  <c r="P95" i="19"/>
  <c r="P94" i="19"/>
  <c r="P93" i="19"/>
  <c r="P92" i="19"/>
  <c r="P91" i="19"/>
  <c r="P90" i="19"/>
  <c r="P89" i="19"/>
  <c r="P88" i="19"/>
  <c r="P87" i="19"/>
  <c r="P86" i="19"/>
  <c r="P85" i="19"/>
  <c r="P84" i="19"/>
  <c r="P83" i="19"/>
  <c r="P82" i="19"/>
  <c r="P81" i="19"/>
  <c r="P80" i="19"/>
  <c r="P79" i="19"/>
  <c r="P78" i="19"/>
  <c r="P77" i="19"/>
  <c r="P76" i="19"/>
  <c r="P75" i="19"/>
  <c r="P74" i="19"/>
  <c r="P73" i="19"/>
  <c r="P72" i="19"/>
  <c r="P71" i="19"/>
  <c r="P70" i="19"/>
  <c r="P69" i="19"/>
  <c r="P68" i="19"/>
  <c r="P67" i="19"/>
  <c r="P66" i="19"/>
  <c r="P65" i="19"/>
  <c r="P64" i="19"/>
  <c r="P63" i="19"/>
  <c r="P62" i="19"/>
  <c r="P61" i="19"/>
  <c r="P60" i="19"/>
  <c r="P59" i="19"/>
  <c r="P58" i="19"/>
  <c r="P57" i="19"/>
  <c r="P56" i="19"/>
  <c r="P55" i="19"/>
  <c r="P54" i="19"/>
  <c r="P53" i="19"/>
  <c r="P52" i="19"/>
  <c r="P51" i="19"/>
  <c r="P50" i="19"/>
  <c r="P49" i="19"/>
  <c r="P48" i="19"/>
  <c r="P47" i="19"/>
  <c r="P46" i="19"/>
  <c r="P45" i="19"/>
  <c r="P44" i="19"/>
  <c r="P43" i="19"/>
  <c r="P42" i="19"/>
  <c r="P41" i="19"/>
  <c r="P40" i="19"/>
  <c r="P39" i="19"/>
  <c r="P38" i="19"/>
  <c r="P37" i="19"/>
  <c r="P36" i="19"/>
  <c r="P35" i="19"/>
  <c r="P34" i="19"/>
  <c r="P33" i="19"/>
  <c r="P32" i="19"/>
  <c r="P31" i="19"/>
  <c r="P30" i="19"/>
  <c r="P29" i="19"/>
  <c r="P28" i="19"/>
  <c r="P27" i="19"/>
  <c r="P26" i="19"/>
  <c r="P25" i="19"/>
  <c r="P24" i="19"/>
  <c r="P23" i="19"/>
  <c r="P22" i="19"/>
  <c r="P21" i="19"/>
  <c r="P20" i="19"/>
  <c r="P19" i="19"/>
  <c r="P18" i="19"/>
  <c r="P17" i="19"/>
  <c r="P16" i="19"/>
  <c r="P15" i="19"/>
  <c r="P14" i="19"/>
  <c r="P13" i="19"/>
  <c r="P12" i="19"/>
  <c r="P11" i="19"/>
  <c r="P10" i="19"/>
  <c r="P9" i="19"/>
  <c r="P8" i="19"/>
  <c r="P7" i="19"/>
  <c r="P6" i="19"/>
  <c r="P5" i="19"/>
  <c r="P4" i="19"/>
  <c r="P3" i="19"/>
  <c r="P97" i="18"/>
  <c r="P96" i="18"/>
  <c r="P95" i="18"/>
  <c r="P94" i="18"/>
  <c r="P93" i="18"/>
  <c r="P92" i="18"/>
  <c r="P91" i="18"/>
  <c r="P90" i="18"/>
  <c r="P89" i="18"/>
  <c r="P88" i="18"/>
  <c r="P87" i="18"/>
  <c r="P86" i="18"/>
  <c r="P85" i="18"/>
  <c r="P84" i="18"/>
  <c r="P83" i="18"/>
  <c r="P82" i="18"/>
  <c r="P81" i="18"/>
  <c r="P80" i="18"/>
  <c r="P79" i="18"/>
  <c r="P78" i="18"/>
  <c r="P77" i="18"/>
  <c r="P76" i="18"/>
  <c r="P75" i="18"/>
  <c r="P74" i="18"/>
  <c r="P73" i="18"/>
  <c r="P72" i="18"/>
  <c r="P71" i="18"/>
  <c r="P70" i="18"/>
  <c r="P69" i="18"/>
  <c r="P68" i="18"/>
  <c r="P67" i="18"/>
  <c r="P66" i="18"/>
  <c r="P65" i="18"/>
  <c r="P64" i="18"/>
  <c r="P63" i="18"/>
  <c r="P62" i="18"/>
  <c r="P61" i="18"/>
  <c r="P60" i="18"/>
  <c r="P59" i="18"/>
  <c r="P58" i="18"/>
  <c r="P57" i="18"/>
  <c r="P56" i="18"/>
  <c r="P55" i="18"/>
  <c r="P54" i="18"/>
  <c r="P53" i="18"/>
  <c r="P52" i="18"/>
  <c r="P51" i="18"/>
  <c r="P50" i="18"/>
  <c r="P49" i="18"/>
  <c r="P48" i="18"/>
  <c r="P47" i="18"/>
  <c r="P46" i="18"/>
  <c r="P45" i="18"/>
  <c r="P44" i="18"/>
  <c r="P43" i="18"/>
  <c r="P42" i="18"/>
  <c r="P41" i="18"/>
  <c r="P40" i="18"/>
  <c r="P39" i="18"/>
  <c r="P38" i="18"/>
  <c r="P37" i="18"/>
  <c r="P36" i="18"/>
  <c r="P35" i="18"/>
  <c r="P34" i="18"/>
  <c r="P33" i="18"/>
  <c r="P32" i="18"/>
  <c r="P31" i="18"/>
  <c r="P30" i="18"/>
  <c r="P29" i="18"/>
  <c r="P28" i="18"/>
  <c r="P27" i="18"/>
  <c r="P26" i="18"/>
  <c r="P25" i="18"/>
  <c r="P24" i="18"/>
  <c r="P23" i="18"/>
  <c r="P22" i="18"/>
  <c r="P21" i="18"/>
  <c r="P20" i="18"/>
  <c r="P19" i="18"/>
  <c r="P18" i="18"/>
  <c r="P17" i="18"/>
  <c r="P16" i="18"/>
  <c r="P15" i="18"/>
  <c r="P14" i="18"/>
  <c r="P13" i="18"/>
  <c r="P12" i="18"/>
  <c r="P11" i="18"/>
  <c r="P10" i="18"/>
  <c r="P9" i="18"/>
  <c r="P8" i="18"/>
  <c r="P7" i="18"/>
  <c r="P6" i="18"/>
  <c r="P5" i="18"/>
  <c r="P4" i="18"/>
  <c r="P3" i="18"/>
  <c r="P4" i="17"/>
  <c r="P5" i="17"/>
  <c r="P6" i="17"/>
  <c r="P7" i="17"/>
  <c r="P8" i="17"/>
  <c r="P9" i="17"/>
  <c r="P10" i="17"/>
  <c r="P11" i="17"/>
  <c r="P12" i="17"/>
  <c r="P13" i="17"/>
  <c r="P14" i="17"/>
  <c r="P15" i="17"/>
  <c r="P16" i="17"/>
  <c r="P17" i="17"/>
  <c r="P18" i="17"/>
  <c r="P19" i="17"/>
  <c r="P20" i="17"/>
  <c r="P21" i="17"/>
  <c r="P22" i="17"/>
  <c r="P23" i="17"/>
  <c r="P24" i="17"/>
  <c r="P25" i="17"/>
  <c r="P26" i="17"/>
  <c r="P27" i="17"/>
  <c r="P28" i="17"/>
  <c r="P29" i="17"/>
  <c r="P30" i="17"/>
  <c r="P31" i="17"/>
  <c r="P32" i="17"/>
  <c r="P33" i="17"/>
  <c r="P34" i="17"/>
  <c r="P35" i="17"/>
  <c r="P36" i="17"/>
  <c r="P37" i="17"/>
  <c r="P38" i="17"/>
  <c r="P39" i="17"/>
  <c r="P40" i="17"/>
  <c r="P41" i="17"/>
  <c r="P42" i="17"/>
  <c r="P43" i="17"/>
  <c r="P44" i="17"/>
  <c r="P45" i="17"/>
  <c r="P46" i="17"/>
  <c r="P47" i="17"/>
  <c r="P48" i="17"/>
  <c r="P49" i="17"/>
  <c r="P50" i="17"/>
  <c r="P51" i="17"/>
  <c r="P52" i="17"/>
  <c r="P53" i="17"/>
  <c r="P54" i="17"/>
  <c r="P55" i="17"/>
  <c r="P56" i="17"/>
  <c r="P57" i="17"/>
  <c r="P58" i="17"/>
  <c r="P59" i="17"/>
  <c r="P60" i="17"/>
  <c r="P61" i="17"/>
  <c r="P62" i="17"/>
  <c r="P63" i="17"/>
  <c r="P64" i="17"/>
  <c r="P65" i="17"/>
  <c r="P66" i="17"/>
  <c r="P67" i="17"/>
  <c r="P68" i="17"/>
  <c r="P69" i="17"/>
  <c r="P70" i="17"/>
  <c r="P71" i="17"/>
  <c r="P72" i="17"/>
  <c r="P73" i="17"/>
  <c r="P74" i="17"/>
  <c r="P75" i="17"/>
  <c r="P76" i="17"/>
  <c r="P77" i="17"/>
  <c r="P78" i="17"/>
  <c r="P79" i="17"/>
  <c r="P80" i="17"/>
  <c r="P81" i="17"/>
  <c r="P82" i="17"/>
  <c r="P83" i="17"/>
  <c r="P84" i="17"/>
  <c r="P85" i="17"/>
  <c r="P86" i="17"/>
  <c r="P87" i="17"/>
  <c r="P88" i="17"/>
  <c r="P89" i="17"/>
  <c r="P90" i="17"/>
  <c r="P91" i="17"/>
  <c r="P92" i="17"/>
  <c r="P93" i="17"/>
  <c r="P94" i="17"/>
  <c r="P95" i="17"/>
  <c r="P96" i="17"/>
  <c r="P97" i="17"/>
  <c r="P3" i="17"/>
  <c r="P4" i="16"/>
  <c r="P5" i="16"/>
  <c r="P6" i="16"/>
  <c r="P7" i="16"/>
  <c r="P8" i="16"/>
  <c r="P9" i="16"/>
  <c r="P10" i="16"/>
  <c r="P11" i="16"/>
  <c r="P12" i="16"/>
  <c r="P13" i="16"/>
  <c r="P14" i="16"/>
  <c r="P15" i="16"/>
  <c r="P16" i="16"/>
  <c r="P17" i="16"/>
  <c r="P18" i="16"/>
  <c r="P19" i="16"/>
  <c r="P20" i="16"/>
  <c r="P21" i="16"/>
  <c r="P22" i="16"/>
  <c r="P23" i="16"/>
  <c r="P24" i="16"/>
  <c r="P25" i="16"/>
  <c r="P26" i="16"/>
  <c r="P27" i="16"/>
  <c r="P28" i="16"/>
  <c r="P29" i="16"/>
  <c r="P30" i="16"/>
  <c r="P31" i="16"/>
  <c r="P32" i="16"/>
  <c r="P33" i="16"/>
  <c r="P34" i="16"/>
  <c r="P35" i="16"/>
  <c r="P36" i="16"/>
  <c r="P37" i="16"/>
  <c r="P38" i="16"/>
  <c r="P39" i="16"/>
  <c r="P40" i="16"/>
  <c r="P41" i="16"/>
  <c r="P42" i="16"/>
  <c r="P43" i="16"/>
  <c r="P44" i="16"/>
  <c r="P45" i="16"/>
  <c r="P46" i="16"/>
  <c r="P47" i="16"/>
  <c r="P48" i="16"/>
  <c r="P49" i="16"/>
  <c r="P50" i="16"/>
  <c r="P51" i="16"/>
  <c r="P52" i="16"/>
  <c r="P53" i="16"/>
  <c r="P54" i="16"/>
  <c r="P55" i="16"/>
  <c r="P56" i="16"/>
  <c r="P57" i="16"/>
  <c r="P58" i="16"/>
  <c r="P59" i="16"/>
  <c r="P60" i="16"/>
  <c r="P61" i="16"/>
  <c r="P62" i="16"/>
  <c r="P63" i="16"/>
  <c r="P64" i="16"/>
  <c r="P65" i="16"/>
  <c r="P66" i="16"/>
  <c r="P67" i="16"/>
  <c r="P68" i="16"/>
  <c r="P69" i="16"/>
  <c r="P70" i="16"/>
  <c r="P71" i="16"/>
  <c r="P72" i="16"/>
  <c r="P73" i="16"/>
  <c r="P74" i="16"/>
  <c r="P75" i="16"/>
  <c r="P76" i="16"/>
  <c r="P77" i="16"/>
  <c r="P78" i="16"/>
  <c r="P79" i="16"/>
  <c r="P80" i="16"/>
  <c r="P81" i="16"/>
  <c r="P82" i="16"/>
  <c r="P83" i="16"/>
  <c r="P84" i="16"/>
  <c r="P85" i="16"/>
  <c r="P86" i="16"/>
  <c r="P87" i="16"/>
  <c r="P88" i="16"/>
  <c r="P89" i="16"/>
  <c r="P90" i="16"/>
  <c r="P91" i="16"/>
  <c r="P92" i="16"/>
  <c r="P93" i="16"/>
  <c r="P94" i="16"/>
  <c r="P95" i="16"/>
  <c r="P96" i="16"/>
  <c r="P97" i="16"/>
  <c r="P3" i="16"/>
  <c r="P4" i="6"/>
  <c r="P5" i="6"/>
  <c r="P6" i="6"/>
  <c r="P7" i="6"/>
  <c r="P8" i="6"/>
  <c r="P9" i="6"/>
  <c r="P10" i="6"/>
  <c r="P11" i="6"/>
  <c r="P12" i="6"/>
  <c r="P13" i="6"/>
  <c r="P14" i="6"/>
  <c r="P15" i="6"/>
  <c r="P16" i="6"/>
  <c r="P17" i="6"/>
  <c r="P18" i="6"/>
  <c r="P19" i="6"/>
  <c r="P20" i="6"/>
  <c r="P21" i="6"/>
  <c r="P22" i="6"/>
  <c r="P23" i="6"/>
  <c r="P24" i="6"/>
  <c r="P25" i="6"/>
  <c r="P26" i="6"/>
  <c r="P27" i="6"/>
  <c r="P28" i="6"/>
  <c r="P29" i="6"/>
  <c r="P30" i="6"/>
  <c r="P31" i="6"/>
  <c r="P32" i="6"/>
  <c r="P33" i="6"/>
  <c r="P34" i="6"/>
  <c r="P35" i="6"/>
  <c r="P36" i="6"/>
  <c r="P37" i="6"/>
  <c r="P38" i="6"/>
  <c r="P39" i="6"/>
  <c r="P40" i="6"/>
  <c r="P41" i="6"/>
  <c r="P42" i="6"/>
  <c r="P43" i="6"/>
  <c r="P44" i="6"/>
  <c r="P45" i="6"/>
  <c r="P46" i="6"/>
  <c r="P47" i="6"/>
  <c r="P48" i="6"/>
  <c r="P49" i="6"/>
  <c r="P50" i="6"/>
  <c r="P51" i="6"/>
  <c r="P52" i="6"/>
  <c r="P53" i="6"/>
  <c r="P54" i="6"/>
  <c r="P55" i="6"/>
  <c r="P56" i="6"/>
  <c r="P57" i="6"/>
  <c r="P58" i="6"/>
  <c r="P59" i="6"/>
  <c r="P60" i="6"/>
  <c r="P61" i="6"/>
  <c r="P62" i="6"/>
  <c r="P63" i="6"/>
  <c r="P64" i="6"/>
  <c r="P65" i="6"/>
  <c r="P66" i="6"/>
  <c r="P67" i="6"/>
  <c r="P68" i="6"/>
  <c r="P69" i="6"/>
  <c r="P70" i="6"/>
  <c r="P71" i="6"/>
  <c r="P72" i="6"/>
  <c r="P73" i="6"/>
  <c r="P74" i="6"/>
  <c r="P75" i="6"/>
  <c r="P76" i="6"/>
  <c r="P77" i="6"/>
  <c r="P78" i="6"/>
  <c r="P79" i="6"/>
  <c r="P80" i="6"/>
  <c r="P81" i="6"/>
  <c r="P82" i="6"/>
  <c r="P83" i="6"/>
  <c r="P84" i="6"/>
  <c r="P85" i="6"/>
  <c r="P86" i="6"/>
  <c r="P87" i="6"/>
  <c r="P88" i="6"/>
  <c r="P89" i="6"/>
  <c r="P90" i="6"/>
  <c r="P91" i="6"/>
  <c r="P92" i="6"/>
  <c r="P93" i="6"/>
  <c r="P94" i="6"/>
  <c r="P95" i="6"/>
  <c r="P96" i="6"/>
  <c r="P97" i="6"/>
  <c r="P3" i="6"/>
  <c r="T50" i="2"/>
  <c r="T49" i="2"/>
  <c r="T48" i="2"/>
  <c r="T47" i="2"/>
  <c r="T46" i="2"/>
  <c r="T45" i="2"/>
  <c r="T44" i="2"/>
  <c r="T43" i="2"/>
  <c r="T42" i="2"/>
  <c r="T41" i="2"/>
  <c r="T40" i="2"/>
  <c r="T39" i="2"/>
  <c r="T38" i="2"/>
  <c r="T37" i="2"/>
  <c r="T36" i="2"/>
  <c r="T35" i="2"/>
  <c r="T34" i="2"/>
  <c r="T33" i="2"/>
  <c r="T32" i="2"/>
  <c r="T31" i="2"/>
  <c r="T30" i="2"/>
  <c r="T29" i="2"/>
  <c r="T26" i="2"/>
  <c r="T25" i="2"/>
  <c r="T24" i="2"/>
  <c r="T23" i="2"/>
  <c r="T22" i="2"/>
  <c r="T21" i="2"/>
  <c r="T20" i="2"/>
  <c r="T19" i="2"/>
  <c r="T18" i="2"/>
  <c r="T17" i="2"/>
  <c r="S16" i="2"/>
  <c r="S28" i="2" s="1"/>
  <c r="R16" i="2"/>
  <c r="R28" i="2" s="1"/>
  <c r="Q16" i="2"/>
  <c r="Q28" i="2" s="1"/>
  <c r="N16" i="2"/>
  <c r="N28" i="2" s="1"/>
  <c r="M16" i="2"/>
  <c r="M28" i="2" s="1"/>
  <c r="L16" i="2"/>
  <c r="L28" i="2" s="1"/>
  <c r="K16" i="2"/>
  <c r="K28" i="2" s="1"/>
  <c r="J16" i="2"/>
  <c r="J28" i="2" s="1"/>
  <c r="I16" i="2"/>
  <c r="I28" i="2" s="1"/>
  <c r="H16" i="2"/>
  <c r="H28" i="2" s="1"/>
  <c r="G16" i="2"/>
  <c r="G28" i="2" s="1"/>
  <c r="F16" i="2"/>
  <c r="F28" i="2" s="1"/>
  <c r="E16" i="2"/>
  <c r="E28" i="2" s="1"/>
  <c r="D16" i="2"/>
  <c r="S15" i="2"/>
  <c r="S27" i="2" s="1"/>
  <c r="R15" i="2"/>
  <c r="R27" i="2" s="1"/>
  <c r="Q15" i="2"/>
  <c r="Q27" i="2" s="1"/>
  <c r="N15" i="2"/>
  <c r="N27" i="2" s="1"/>
  <c r="M15" i="2"/>
  <c r="M27" i="2" s="1"/>
  <c r="L15" i="2"/>
  <c r="L27" i="2" s="1"/>
  <c r="K15" i="2"/>
  <c r="K27" i="2" s="1"/>
  <c r="J15" i="2"/>
  <c r="J27" i="2" s="1"/>
  <c r="I15" i="2"/>
  <c r="I27" i="2" s="1"/>
  <c r="H15" i="2"/>
  <c r="H27" i="2" s="1"/>
  <c r="G15" i="2"/>
  <c r="G27" i="2" s="1"/>
  <c r="F15" i="2"/>
  <c r="F27" i="2" s="1"/>
  <c r="E15" i="2"/>
  <c r="E27" i="2" s="1"/>
  <c r="D15" i="2"/>
  <c r="T14" i="2"/>
  <c r="T13" i="2"/>
  <c r="T12" i="2"/>
  <c r="T11" i="2"/>
  <c r="T10" i="2"/>
  <c r="T9" i="2"/>
  <c r="T8" i="2"/>
  <c r="T7" i="2"/>
  <c r="T6" i="2"/>
  <c r="T5" i="2"/>
  <c r="T4" i="2"/>
  <c r="T3" i="2"/>
  <c r="L5" i="1"/>
  <c r="M5" i="1" s="1"/>
  <c r="L50" i="1"/>
  <c r="M50" i="1" s="1"/>
  <c r="L49" i="1"/>
  <c r="M49" i="1" s="1"/>
  <c r="L48" i="1"/>
  <c r="M48" i="1" s="1"/>
  <c r="L47" i="1"/>
  <c r="M47" i="1" s="1"/>
  <c r="L46" i="1"/>
  <c r="M46" i="1" s="1"/>
  <c r="L45" i="1"/>
  <c r="M45" i="1" s="1"/>
  <c r="L44" i="1"/>
  <c r="M44" i="1" s="1"/>
  <c r="L43" i="1"/>
  <c r="M43" i="1" s="1"/>
  <c r="L42" i="1"/>
  <c r="M42" i="1" s="1"/>
  <c r="L41" i="1"/>
  <c r="M41" i="1" s="1"/>
  <c r="L40" i="1"/>
  <c r="M40" i="1" s="1"/>
  <c r="L39" i="1"/>
  <c r="M39" i="1" s="1"/>
  <c r="L38" i="1"/>
  <c r="M38" i="1" s="1"/>
  <c r="L37" i="1"/>
  <c r="M37" i="1" s="1"/>
  <c r="L36" i="1"/>
  <c r="M36" i="1" s="1"/>
  <c r="L35" i="1"/>
  <c r="M35" i="1" s="1"/>
  <c r="L34" i="1"/>
  <c r="M34" i="1" s="1"/>
  <c r="L33" i="1"/>
  <c r="M33" i="1" s="1"/>
  <c r="L32" i="1"/>
  <c r="M32" i="1" s="1"/>
  <c r="L31" i="1"/>
  <c r="M31" i="1" s="1"/>
  <c r="L30" i="1"/>
  <c r="M30" i="1" s="1"/>
  <c r="L29" i="1"/>
  <c r="M29" i="1" s="1"/>
  <c r="K28" i="1"/>
  <c r="L28" i="1" s="1"/>
  <c r="M28" i="1" s="1"/>
  <c r="H28" i="1"/>
  <c r="E28" i="1"/>
  <c r="K27" i="1"/>
  <c r="L27" i="1" s="1"/>
  <c r="M27" i="1" s="1"/>
  <c r="H27" i="1"/>
  <c r="E27" i="1"/>
  <c r="L26" i="1"/>
  <c r="M26" i="1" s="1"/>
  <c r="M25" i="1"/>
  <c r="L25" i="1"/>
  <c r="L24" i="1"/>
  <c r="M24" i="1" s="1"/>
  <c r="L23" i="1"/>
  <c r="M23" i="1" s="1"/>
  <c r="L22" i="1"/>
  <c r="M22" i="1" s="1"/>
  <c r="L21" i="1"/>
  <c r="M21" i="1" s="1"/>
  <c r="M20" i="1"/>
  <c r="L20" i="1"/>
  <c r="L19" i="1"/>
  <c r="M19" i="1" s="1"/>
  <c r="L18" i="1"/>
  <c r="M18" i="1" s="1"/>
  <c r="L17" i="1"/>
  <c r="M17" i="1" s="1"/>
  <c r="K16" i="1"/>
  <c r="L16" i="1" s="1"/>
  <c r="M16" i="1" s="1"/>
  <c r="H16" i="1"/>
  <c r="E16" i="1"/>
  <c r="K15" i="1"/>
  <c r="L15" i="1" s="1"/>
  <c r="M15" i="1" s="1"/>
  <c r="H15" i="1"/>
  <c r="E15" i="1"/>
  <c r="L14" i="1"/>
  <c r="M14" i="1" s="1"/>
  <c r="L13" i="1"/>
  <c r="M13" i="1" s="1"/>
  <c r="L12" i="1"/>
  <c r="M12" i="1" s="1"/>
  <c r="L11" i="1"/>
  <c r="M11" i="1" s="1"/>
  <c r="L10" i="1"/>
  <c r="M10" i="1" s="1"/>
  <c r="L9" i="1"/>
  <c r="M9" i="1" s="1"/>
  <c r="L8" i="1"/>
  <c r="M8" i="1" s="1"/>
  <c r="L7" i="1"/>
  <c r="M7" i="1" s="1"/>
  <c r="L6" i="1"/>
  <c r="M6" i="1" s="1"/>
  <c r="K4" i="1"/>
  <c r="L4" i="1" s="1"/>
  <c r="M4" i="1" s="1"/>
  <c r="H4" i="1"/>
  <c r="E4" i="1"/>
  <c r="K3" i="1"/>
  <c r="L3" i="1" s="1"/>
  <c r="M3" i="1" s="1"/>
  <c r="H3" i="1"/>
  <c r="E3" i="1"/>
  <c r="G6" i="14"/>
  <c r="F6" i="14"/>
  <c r="M14" i="5" l="1"/>
  <c r="M11" i="5"/>
  <c r="M12" i="5"/>
  <c r="M16" i="5"/>
  <c r="M13" i="5"/>
  <c r="M15" i="5"/>
  <c r="M10" i="5"/>
  <c r="M9" i="5"/>
  <c r="M3" i="5"/>
  <c r="M7" i="5"/>
  <c r="M8" i="5"/>
  <c r="M5" i="5"/>
  <c r="O3" i="11"/>
  <c r="D28" i="2"/>
  <c r="T28" i="2" s="1"/>
  <c r="T16" i="2"/>
  <c r="D27" i="2"/>
  <c r="T27" i="2" s="1"/>
  <c r="T15" i="2"/>
</calcChain>
</file>

<file path=xl/sharedStrings.xml><?xml version="1.0" encoding="utf-8"?>
<sst xmlns="http://schemas.openxmlformats.org/spreadsheetml/2006/main" count="1713" uniqueCount="530">
  <si>
    <t>Total</t>
  </si>
  <si>
    <t>HAN</t>
  </si>
  <si>
    <t>HAD</t>
  </si>
  <si>
    <t>HLC</t>
  </si>
  <si>
    <t>HCM</t>
  </si>
  <si>
    <t>Office</t>
  </si>
  <si>
    <t>Month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</si>
  <si>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</si>
  <si>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</si>
  <si>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</si>
  <si>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</si>
  <si>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</si>
  <si>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</si>
  <si>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</si>
  <si>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</si>
  <si>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</si>
  <si>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Jan</t>
  </si>
  <si>
    <t>Feb</t>
  </si>
  <si>
    <t>Mar</t>
  </si>
  <si>
    <t>HC STATUS</t>
  </si>
  <si>
    <t>AI</t>
  </si>
  <si>
    <t>AE</t>
  </si>
  <si>
    <t>OILCL</t>
  </si>
  <si>
    <t>OIFCL</t>
  </si>
  <si>
    <t>OELCL</t>
  </si>
  <si>
    <t>OEFCL</t>
  </si>
  <si>
    <t>DI</t>
  </si>
  <si>
    <t>DE</t>
  </si>
  <si>
    <t>DM</t>
  </si>
  <si>
    <t>CE</t>
  </si>
  <si>
    <t>CI</t>
  </si>
  <si>
    <t>HE</t>
  </si>
  <si>
    <t>HI</t>
  </si>
  <si>
    <t>RE</t>
  </si>
  <si>
    <t>RI</t>
  </si>
  <si>
    <t>RD</t>
  </si>
  <si>
    <t>OE</t>
  </si>
  <si>
    <t>OI</t>
  </si>
  <si>
    <t>CC</t>
  </si>
  <si>
    <t>TR</t>
  </si>
  <si>
    <t>WH</t>
  </si>
  <si>
    <t>TOTAL</t>
  </si>
  <si>
    <t>Apr-26</t>
  </si>
  <si>
    <t>May-26</t>
  </si>
  <si>
    <t>Segment</t>
  </si>
  <si>
    <t>No.</t>
  </si>
  <si>
    <t>Customer</t>
  </si>
  <si>
    <t>Jun-26</t>
  </si>
  <si>
    <t>Jul-26</t>
  </si>
  <si>
    <t>UMC</t>
  </si>
  <si>
    <t>SDVN</t>
  </si>
  <si>
    <t>SEWS-CV</t>
  </si>
  <si>
    <t>NGSDVN</t>
  </si>
  <si>
    <t>KVP</t>
  </si>
  <si>
    <t>VIETINAK</t>
  </si>
  <si>
    <t>CRESYN</t>
  </si>
  <si>
    <t>EASTECH</t>
  </si>
  <si>
    <t>Schaeffler</t>
  </si>
  <si>
    <t>HANA BN</t>
  </si>
  <si>
    <t>FABRI-TECH</t>
  </si>
  <si>
    <t>IKKA</t>
  </si>
  <si>
    <t>TAISHODO</t>
  </si>
  <si>
    <t>WLV</t>
  </si>
  <si>
    <t>OHGITANI</t>
  </si>
  <si>
    <t>SEAPs</t>
  </si>
  <si>
    <t>TORAY (PACIFIC)</t>
  </si>
  <si>
    <t>NEV</t>
  </si>
  <si>
    <t>LIXIL</t>
  </si>
  <si>
    <t>BANDO</t>
  </si>
  <si>
    <t>SENKO TH</t>
  </si>
  <si>
    <t>SVAW</t>
  </si>
  <si>
    <t>AKEBONO</t>
  </si>
  <si>
    <t>NAGASE</t>
  </si>
  <si>
    <t>ABCD</t>
  </si>
  <si>
    <t>HAMADEN</t>
  </si>
  <si>
    <t>KANSAI</t>
  </si>
  <si>
    <t>CMV</t>
  </si>
  <si>
    <t>AIDEN</t>
  </si>
  <si>
    <t>BIVN</t>
  </si>
  <si>
    <t>MEKTEC</t>
  </si>
  <si>
    <t>YAMCO</t>
  </si>
  <si>
    <t>SENKO JP</t>
  </si>
  <si>
    <t>SENKO HK</t>
  </si>
  <si>
    <t>PROTERIAL</t>
  </si>
  <si>
    <t>DS VIETNAM</t>
  </si>
  <si>
    <t>HARTING</t>
  </si>
  <si>
    <t>FANUC</t>
  </si>
  <si>
    <t>SANWA</t>
  </si>
  <si>
    <t>MARUNIX</t>
  </si>
  <si>
    <t>HWEAR</t>
  </si>
  <si>
    <t>TSK</t>
  </si>
  <si>
    <t>HOKUYO</t>
  </si>
  <si>
    <t>NPR</t>
  </si>
  <si>
    <t>ICAM</t>
  </si>
  <si>
    <t>FIT</t>
  </si>
  <si>
    <t>IRISO</t>
  </si>
  <si>
    <t>HANA BG</t>
  </si>
  <si>
    <t>DOW</t>
  </si>
  <si>
    <t>TOWADENKI</t>
  </si>
  <si>
    <t>WONDERFUL</t>
  </si>
  <si>
    <t>SUZURAN</t>
  </si>
  <si>
    <t>VISCO</t>
  </si>
  <si>
    <t>CLIMAVENETA</t>
  </si>
  <si>
    <t>KTC</t>
  </si>
  <si>
    <t>DENKA VN</t>
  </si>
  <si>
    <t>Marubun</t>
  </si>
  <si>
    <t>IGV</t>
  </si>
  <si>
    <t>FUJISEIKO</t>
  </si>
  <si>
    <t>TORICA</t>
  </si>
  <si>
    <t>YOKOHAMA</t>
  </si>
  <si>
    <t>DATACOLOR</t>
  </si>
  <si>
    <t>SAMWHA HK</t>
  </si>
  <si>
    <t>NISSEI</t>
  </si>
  <si>
    <t>MOLTEN</t>
  </si>
  <si>
    <t>SANSEI</t>
  </si>
  <si>
    <t>THUC NGHIEP</t>
  </si>
  <si>
    <t>JFTV</t>
  </si>
  <si>
    <t>ACECOOK</t>
  </si>
  <si>
    <t>AvantChem</t>
  </si>
  <si>
    <t>WEALTHY</t>
  </si>
  <si>
    <t>KURODA</t>
  </si>
  <si>
    <t>KOUYOHSIN</t>
  </si>
  <si>
    <t>DAESANG</t>
  </si>
  <si>
    <t>NFK</t>
  </si>
  <si>
    <t>TANTHANH</t>
  </si>
  <si>
    <t>SUYUE</t>
  </si>
  <si>
    <t>MYONGSHIN</t>
  </si>
  <si>
    <t>KOYO</t>
  </si>
  <si>
    <t>MITSUBA</t>
  </si>
  <si>
    <t>RICHDEMANDER</t>
  </si>
  <si>
    <t>TAEYANG</t>
  </si>
  <si>
    <t>JUNYUE</t>
  </si>
  <si>
    <t>POYUN</t>
  </si>
  <si>
    <t>KOREAJCC</t>
  </si>
  <si>
    <t>ASIAPACIFIC</t>
  </si>
  <si>
    <t>VIETSON</t>
  </si>
  <si>
    <t>OCHIAI</t>
  </si>
  <si>
    <t>GEMMY</t>
  </si>
  <si>
    <t>MKHV</t>
  </si>
  <si>
    <t>HAIVINA</t>
  </si>
  <si>
    <t>ADVPHARMA</t>
  </si>
  <si>
    <t>YENHUNG</t>
  </si>
  <si>
    <t>MSVINA</t>
  </si>
  <si>
    <t>REDSTAR</t>
  </si>
  <si>
    <t>Aug-26</t>
  </si>
  <si>
    <t>Sep-26</t>
  </si>
  <si>
    <t>Oct-26</t>
  </si>
  <si>
    <t>Nov-26</t>
  </si>
  <si>
    <t>Dec-26</t>
  </si>
  <si>
    <t>Jan-27</t>
  </si>
  <si>
    <t>Feb-27</t>
  </si>
  <si>
    <t>Mar-27</t>
  </si>
  <si>
    <t>CS PIC</t>
  </si>
  <si>
    <t>BTD</t>
  </si>
  <si>
    <t>BHT</t>
  </si>
  <si>
    <t>NTH</t>
  </si>
  <si>
    <t>NLC</t>
  </si>
  <si>
    <t>DTL</t>
  </si>
  <si>
    <t>NBN</t>
  </si>
  <si>
    <t>TTL</t>
  </si>
  <si>
    <t>THT</t>
  </si>
  <si>
    <t>HTT</t>
  </si>
  <si>
    <t>OFFICE</t>
  </si>
  <si>
    <t>Scope</t>
  </si>
  <si>
    <t>AE-ABBB</t>
  </si>
  <si>
    <t>AE-CBBB</t>
  </si>
  <si>
    <t>AE-CTAB</t>
  </si>
  <si>
    <t>AE-CTAW</t>
  </si>
  <si>
    <t>AE-CTBB</t>
  </si>
  <si>
    <t>AE-CTWB</t>
  </si>
  <si>
    <t>AE-TABB</t>
  </si>
  <si>
    <t>AE-TBBB</t>
  </si>
  <si>
    <t>AI-ABBB</t>
  </si>
  <si>
    <t>AI-CABB</t>
  </si>
  <si>
    <t>AI-CBBB</t>
  </si>
  <si>
    <t>AI-CGBB</t>
  </si>
  <si>
    <t>AI-CTAB</t>
  </si>
  <si>
    <t>AI-CTBB</t>
  </si>
  <si>
    <t>AI-CTGB</t>
  </si>
  <si>
    <t>AI-CTWB</t>
  </si>
  <si>
    <t>AI-CWBB</t>
  </si>
  <si>
    <t>CE-CBTB</t>
  </si>
  <si>
    <t>CE-CBTC</t>
  </si>
  <si>
    <t>CE-CBTW</t>
  </si>
  <si>
    <t>CI-CBBB</t>
  </si>
  <si>
    <t>CI-CWBB</t>
  </si>
  <si>
    <t>DE-CBBB</t>
  </si>
  <si>
    <t>DE-CGBB</t>
  </si>
  <si>
    <t>DE-CTBB</t>
  </si>
  <si>
    <t>DE-CTGB</t>
  </si>
  <si>
    <t>DE-CTWB</t>
  </si>
  <si>
    <t>DE-TATC</t>
  </si>
  <si>
    <t>DE-TBBB</t>
  </si>
  <si>
    <t>DE-TGBB</t>
  </si>
  <si>
    <t>DE-TWBB</t>
  </si>
  <si>
    <t>DI-CBBB</t>
  </si>
  <si>
    <t>DI-CTBB</t>
  </si>
  <si>
    <t>DI-CTGB</t>
  </si>
  <si>
    <t>DI-CTWB</t>
  </si>
  <si>
    <t>DI-GBBB</t>
  </si>
  <si>
    <t>DI-TGBB</t>
  </si>
  <si>
    <t>DI-TWBB</t>
  </si>
  <si>
    <t>DM-CBBB</t>
  </si>
  <si>
    <t>DM-CGBB</t>
  </si>
  <si>
    <t>DM-TBBB</t>
  </si>
  <si>
    <t>DM-TOTB</t>
  </si>
  <si>
    <t>OEFCL-CBBB</t>
  </si>
  <si>
    <t>OEFCL-CTBB</t>
  </si>
  <si>
    <t>OEFCL-CTOB</t>
  </si>
  <si>
    <t>OEFCL-CTWB</t>
  </si>
  <si>
    <t>OEFCL-FCTB</t>
  </si>
  <si>
    <t>OEFCL-OBBB</t>
  </si>
  <si>
    <t>OEFCL-TBBB</t>
  </si>
  <si>
    <t>OEFCL-TOBB</t>
  </si>
  <si>
    <t>OELCL-CBBB</t>
  </si>
  <si>
    <t>OELCL-CTBB</t>
  </si>
  <si>
    <t>OELCL-CTGB</t>
  </si>
  <si>
    <t>OELCL-CTOB</t>
  </si>
  <si>
    <t>OELCL-CTWB</t>
  </si>
  <si>
    <t>OELCL-OBBB</t>
  </si>
  <si>
    <t>OELCL-TBBB</t>
  </si>
  <si>
    <t>OELCL-TOBB</t>
  </si>
  <si>
    <t>OIFCL-CTBB</t>
  </si>
  <si>
    <t>OIFCL-CTGB</t>
  </si>
  <si>
    <t>OIFCL-CTOB</t>
  </si>
  <si>
    <t>OIFCL-CTOW</t>
  </si>
  <si>
    <t>OIFCL-CTWB</t>
  </si>
  <si>
    <t>OIFCL-CWBB</t>
  </si>
  <si>
    <t>OIFCL-OBBB</t>
  </si>
  <si>
    <t>OIFCL-TBBB</t>
  </si>
  <si>
    <t>OILCL-CBBB</t>
  </si>
  <si>
    <t>OILCL-CTBB</t>
  </si>
  <si>
    <t>OILCL-CTGB</t>
  </si>
  <si>
    <t>OILCL-CTOB</t>
  </si>
  <si>
    <t>OILCL-CTWB</t>
  </si>
  <si>
    <t>OILCL-CWBB</t>
  </si>
  <si>
    <t>OILCL-OBBB</t>
  </si>
  <si>
    <t>CCCO</t>
  </si>
  <si>
    <t>TRFU</t>
  </si>
  <si>
    <t>CCLS</t>
  </si>
  <si>
    <t>CSIN</t>
  </si>
  <si>
    <t>TRLA</t>
  </si>
  <si>
    <t>TRHI</t>
  </si>
  <si>
    <t>TRHE</t>
  </si>
  <si>
    <t>AE-AFOS</t>
  </si>
  <si>
    <t>AI-AFOS</t>
  </si>
  <si>
    <t>AE-OCDN</t>
  </si>
  <si>
    <t>AI-OCDN</t>
  </si>
  <si>
    <t>CCLD</t>
  </si>
  <si>
    <t>TRMD</t>
  </si>
  <si>
    <t>CSBK</t>
  </si>
  <si>
    <t>AEO</t>
  </si>
  <si>
    <t>KD</t>
  </si>
  <si>
    <t>MAC</t>
  </si>
  <si>
    <t>AE-CSMF</t>
  </si>
  <si>
    <t>AI-CSMF</t>
  </si>
  <si>
    <t>OE-CSMF</t>
  </si>
  <si>
    <t>OI-CSMF</t>
  </si>
  <si>
    <t>SYSI</t>
  </si>
  <si>
    <t>CDEC</t>
  </si>
  <si>
    <t>CDMG</t>
  </si>
  <si>
    <t>SCHG</t>
  </si>
  <si>
    <t>CAPS</t>
  </si>
  <si>
    <t>DOCD</t>
  </si>
  <si>
    <t>EXCEPTION DETAIL</t>
  </si>
  <si>
    <t>BU</t>
  </si>
  <si>
    <t>CODE</t>
  </si>
  <si>
    <t>VNACCS failure</t>
  </si>
  <si>
    <t>Wrong CDS</t>
  </si>
  <si>
    <t xml:space="preserve">Wrong/lack of Shipping Doc </t>
  </si>
  <si>
    <t>Trouble shooting</t>
  </si>
  <si>
    <t>Vessel/Flight delay/skip/change vessel/schedule</t>
  </si>
  <si>
    <t>Cargo damage (all types)</t>
  </si>
  <si>
    <t>Criteria</t>
  </si>
  <si>
    <t>S</t>
  </si>
  <si>
    <t>N</t>
  </si>
  <si>
    <t>C</t>
  </si>
  <si>
    <t>Core Volume</t>
  </si>
  <si>
    <t>Ancillary Volume</t>
  </si>
  <si>
    <t>Supporting Volume</t>
  </si>
  <si>
    <t>Exception Volume</t>
  </si>
  <si>
    <t>Core Workload (min)</t>
  </si>
  <si>
    <t>Ancillary Workload (min)</t>
  </si>
  <si>
    <t>Supporting Workload (min)</t>
  </si>
  <si>
    <t>Exception Workload (min)</t>
  </si>
  <si>
    <t>WORKLOAD ALLOCATION</t>
  </si>
  <si>
    <t>Approved HC – Mgr</t>
  </si>
  <si>
    <t>Approved HC – PIC</t>
  </si>
  <si>
    <t>Total Approved HC</t>
  </si>
  <si>
    <t>Actual HC – Mgr</t>
  </si>
  <si>
    <t>Actual HC – PIC</t>
  </si>
  <si>
    <t>Total Actual  HC</t>
  </si>
  <si>
    <t>Required HC – Mgr</t>
  </si>
  <si>
    <t>Required HC – PIC</t>
  </si>
  <si>
    <t>Total Required HC</t>
  </si>
  <si>
    <t>HC Utilization (%)</t>
  </si>
  <si>
    <t>HC Status</t>
  </si>
  <si>
    <t>Active Customers</t>
  </si>
  <si>
    <t>Total Workload (min)</t>
  </si>
  <si>
    <t>SHIPMENT VOLUME BY CUSTOMER</t>
  </si>
  <si>
    <t>SHIPMENT VOLUME BY OFFICE</t>
  </si>
  <si>
    <t>SHIPMENT VOLUME BY CUSTOMER - HAD</t>
  </si>
  <si>
    <t>SHIPMENT VOLUME BY CUSTOMER - HAN</t>
  </si>
  <si>
    <t>SHIPMENT VOLUME BY CUSTOMER - HLC</t>
  </si>
  <si>
    <t>SHIPMENT VOLUME BY CUSTOMER - HCM</t>
  </si>
  <si>
    <t>FTE BY CS PIC</t>
  </si>
  <si>
    <t>SHIPMENT VOLUME BY CORE SERVICE</t>
  </si>
  <si>
    <t xml:space="preserve">SHIPMENT VOLUME BY ANCILLARY SERVICE </t>
  </si>
  <si>
    <t>SHIPMENT VOLUME BY SUPPOTING ACTIVITY</t>
  </si>
  <si>
    <t>SHIPMENT VOLUME BY EXCEPTION HANDLING</t>
  </si>
  <si>
    <t>BU Workload Share (%)</t>
  </si>
  <si>
    <t>1 FTE/tháng = 8 giờ × 95% × 22 ngày = 167.2 giờ/tháng = 10,032 phút/tháng.</t>
  </si>
  <si>
    <t>Mode</t>
  </si>
  <si>
    <t>AIR IMPORT</t>
  </si>
  <si>
    <t xml:space="preserve">AIR EXPORT </t>
  </si>
  <si>
    <t>SEA IMPORT</t>
  </si>
  <si>
    <t>DOMESTIC IMPORT</t>
  </si>
  <si>
    <t>DOMESTIC EXPORT</t>
  </si>
  <si>
    <t xml:space="preserve"> INLAND FROM POINT A TO POINT B ONLY </t>
  </si>
  <si>
    <t>CROSSBORDER EXPORT</t>
  </si>
  <si>
    <t>CROSSBORDER  IMPORT</t>
  </si>
  <si>
    <t>HANDCARRY EXPORT</t>
  </si>
  <si>
    <t>HANDCARRY IMPORT</t>
  </si>
  <si>
    <t>RAIL EXPORT</t>
  </si>
  <si>
    <t>RAIL IMPORT</t>
  </si>
  <si>
    <t>RAIL DOMESTIC</t>
  </si>
  <si>
    <t>Scope of Job</t>
  </si>
  <si>
    <t>CTAW</t>
  </si>
  <si>
    <t>Customs + Trucking + Air + B.Warehouse</t>
  </si>
  <si>
    <t>CTOW</t>
  </si>
  <si>
    <t>Customs + Trucking + Ocean + B.Warehouse</t>
  </si>
  <si>
    <t>CTOB</t>
  </si>
  <si>
    <t>Customs + Trucking + Ocean</t>
  </si>
  <si>
    <t>CTAB</t>
  </si>
  <si>
    <t>Customs + Trucking + Air</t>
  </si>
  <si>
    <t>CTWB</t>
  </si>
  <si>
    <t>Customs + Trucking +B. Warehouse</t>
  </si>
  <si>
    <t>CTRB</t>
  </si>
  <si>
    <t>Customs + Trucking + Rail</t>
  </si>
  <si>
    <t>CAWB</t>
  </si>
  <si>
    <t>Customs + Air + B.Warehouse</t>
  </si>
  <si>
    <t>COWB</t>
  </si>
  <si>
    <t>Customs + Ocean + B.Warehouse</t>
  </si>
  <si>
    <t>CTBB</t>
  </si>
  <si>
    <t>Customs + Trucking</t>
  </si>
  <si>
    <t>CWBB</t>
  </si>
  <si>
    <t>Customs +B. Warehouse</t>
  </si>
  <si>
    <t>COBB</t>
  </si>
  <si>
    <t>Customs + Ocean</t>
  </si>
  <si>
    <t>CABB</t>
  </si>
  <si>
    <t>Customs + Air</t>
  </si>
  <si>
    <t>CTCR</t>
  </si>
  <si>
    <t>Customs + Trucking + Cross-Border Rail</t>
  </si>
  <si>
    <t>CRBB</t>
  </si>
  <si>
    <t>Customs + Rail</t>
  </si>
  <si>
    <t>CARB</t>
  </si>
  <si>
    <t>Customs + Air + Rail</t>
  </si>
  <si>
    <t>CWRB</t>
  </si>
  <si>
    <t>Customs + B.Warehouse + Rail</t>
  </si>
  <si>
    <t>CORB</t>
  </si>
  <si>
    <t>Customs + Ocean + Rail</t>
  </si>
  <si>
    <t>COWR</t>
  </si>
  <si>
    <t>Customs + Ocean + B.Warehouse + Rail</t>
  </si>
  <si>
    <t>TAWB</t>
  </si>
  <si>
    <t>Trucking + Air + B.Warehouse</t>
  </si>
  <si>
    <t>TOBB</t>
  </si>
  <si>
    <t>Trucking + Ocean</t>
  </si>
  <si>
    <t>TOWB</t>
  </si>
  <si>
    <t>Trucking + Ocean +B.Warehouse</t>
  </si>
  <si>
    <t>TABB</t>
  </si>
  <si>
    <t>Trucking + Air</t>
  </si>
  <si>
    <t>TBBB</t>
  </si>
  <si>
    <t>Trucking Only</t>
  </si>
  <si>
    <t>TWBB</t>
  </si>
  <si>
    <t>Trucking +B.Warehouse</t>
  </si>
  <si>
    <t>TRBB</t>
  </si>
  <si>
    <t>Trucking + Rail</t>
  </si>
  <si>
    <t>TAOB</t>
  </si>
  <si>
    <t>Trucking + Air + Ocean</t>
  </si>
  <si>
    <t>TARB</t>
  </si>
  <si>
    <t>Trucking + Air + Rail</t>
  </si>
  <si>
    <t>TORB</t>
  </si>
  <si>
    <t>Trucking + Ocean + Rail</t>
  </si>
  <si>
    <t>TWRB</t>
  </si>
  <si>
    <t>Trucking +B.Warehouse + Rail</t>
  </si>
  <si>
    <t>UBBB</t>
  </si>
  <si>
    <t>Trucking Round-Use</t>
  </si>
  <si>
    <t>MBBB</t>
  </si>
  <si>
    <t>Trucking Milkrun/Shuttle</t>
  </si>
  <si>
    <t>ABBB</t>
  </si>
  <si>
    <t>Air Freight Only</t>
  </si>
  <si>
    <t>OBBB</t>
  </si>
  <si>
    <t>Ocean Freight Only</t>
  </si>
  <si>
    <t>WBBB</t>
  </si>
  <si>
    <t>B.Warehouse Only</t>
  </si>
  <si>
    <t>RBBB</t>
  </si>
  <si>
    <t>Rail Only</t>
  </si>
  <si>
    <t>AWBB</t>
  </si>
  <si>
    <t>Air + B.Warehouse</t>
  </si>
  <si>
    <t>OWBB</t>
  </si>
  <si>
    <t>Ocean +B. Warehouse</t>
  </si>
  <si>
    <t>ARBB</t>
  </si>
  <si>
    <t>Air + Rail</t>
  </si>
  <si>
    <t>ORBB</t>
  </si>
  <si>
    <t>Ocean + Rail</t>
  </si>
  <si>
    <t>WRBB</t>
  </si>
  <si>
    <t>B.Warehouse + Rail</t>
  </si>
  <si>
    <t>AWRB</t>
  </si>
  <si>
    <t>Air + B.Warehouse + Rail</t>
  </si>
  <si>
    <t>OWRB</t>
  </si>
  <si>
    <t>Ocean +B. Warehouse + Rail</t>
  </si>
  <si>
    <t>CBTB</t>
  </si>
  <si>
    <t>Cross-Border Truck</t>
  </si>
  <si>
    <t>CBTW</t>
  </si>
  <si>
    <t>Cross-Border + B.Warehouse</t>
  </si>
  <si>
    <t>CBTA</t>
  </si>
  <si>
    <t>Cross-Border Truck + Air</t>
  </si>
  <si>
    <t>CBTO</t>
  </si>
  <si>
    <t>Cross-Border + Ocean</t>
  </si>
  <si>
    <t>CBRB</t>
  </si>
  <si>
    <t>Cross-Border Rail</t>
  </si>
  <si>
    <t>BCLC</t>
  </si>
  <si>
    <t>Buyer Consol (Cross-Border Truck/Rail)</t>
  </si>
  <si>
    <t>BCLO</t>
  </si>
  <si>
    <t>Buyer Consol (Ocean)</t>
  </si>
  <si>
    <t>APRB</t>
  </si>
  <si>
    <t>Air Charter</t>
  </si>
  <si>
    <t>CBBB</t>
  </si>
  <si>
    <t>Customs Only</t>
  </si>
  <si>
    <t>BBBB</t>
  </si>
  <si>
    <t>Other</t>
  </si>
  <si>
    <t>IBBB</t>
  </si>
  <si>
    <t>Trouble-shooting Handling</t>
  </si>
  <si>
    <t>FCTB</t>
  </si>
  <si>
    <t>Booking Agent + Customs + Truck</t>
  </si>
  <si>
    <t>FTBB</t>
  </si>
  <si>
    <t>Booking Agent + Truck</t>
  </si>
  <si>
    <t>FCBB</t>
  </si>
  <si>
    <t>Booking Agent + Customs</t>
  </si>
  <si>
    <t>FWBB</t>
  </si>
  <si>
    <t>Booking Agent +B. Warehouse</t>
  </si>
  <si>
    <t>FTWB</t>
  </si>
  <si>
    <t>Booking Agent + Truck +B. Warehouse</t>
  </si>
  <si>
    <t>FCWB</t>
  </si>
  <si>
    <t>Booking Agent + Customs +B. Warehouse</t>
  </si>
  <si>
    <t>FCTW</t>
  </si>
  <si>
    <t>Booking Agent + Customs + Truck +B. Warehouse</t>
  </si>
  <si>
    <t>FBBB</t>
  </si>
  <si>
    <t>Booking Agent</t>
  </si>
  <si>
    <t>VBBB</t>
  </si>
  <si>
    <t>Vendor Booking Release</t>
  </si>
  <si>
    <t>DBBB</t>
  </si>
  <si>
    <t>Vendor Doc</t>
  </si>
  <si>
    <t>CTAS</t>
  </si>
  <si>
    <t>Customs + Trucking + Air + CFS warehouse</t>
  </si>
  <si>
    <t>CTOS</t>
  </si>
  <si>
    <t>Customs + Trucking + Ocean + CFS warehouse</t>
  </si>
  <si>
    <t>CTSB</t>
  </si>
  <si>
    <t>Customs + Trucking + CFS warehouse</t>
  </si>
  <si>
    <t>CASB</t>
  </si>
  <si>
    <t>Customs + Air + CFS warehouse</t>
  </si>
  <si>
    <t>COSB</t>
  </si>
  <si>
    <t>Customs + Ocean + CFS warehouse</t>
  </si>
  <si>
    <t>CSBB</t>
  </si>
  <si>
    <t>Customs + CFS warehouse</t>
  </si>
  <si>
    <t>TASB</t>
  </si>
  <si>
    <t>Trucking + Air + CFS warehouse</t>
  </si>
  <si>
    <t>TOSB</t>
  </si>
  <si>
    <t>Trucking + Ocean + CFS warehouse</t>
  </si>
  <si>
    <t>TSBB</t>
  </si>
  <si>
    <t>Trucking + CFS warehouse</t>
  </si>
  <si>
    <t>SBBB</t>
  </si>
  <si>
    <t>CFS warehouse Only</t>
  </si>
  <si>
    <t>ASBB</t>
  </si>
  <si>
    <t>Air + CFS warehouse</t>
  </si>
  <si>
    <t>OSBB</t>
  </si>
  <si>
    <t>Ocean + CFS warehouse</t>
  </si>
  <si>
    <t>CBTS</t>
  </si>
  <si>
    <t>Cross-Border + CFS warehouse</t>
  </si>
  <si>
    <t>FSBB</t>
  </si>
  <si>
    <t>Booking Agent + CFS warehouse</t>
  </si>
  <si>
    <t>FTSB</t>
  </si>
  <si>
    <t>Booking Agent + Truck + CFS warehouse</t>
  </si>
  <si>
    <t>FCSB</t>
  </si>
  <si>
    <t>Booking Agent + Customs + CFS warehouse</t>
  </si>
  <si>
    <t>FCTS</t>
  </si>
  <si>
    <t>Booking Agent + Customs + Truck + CFS warehouse</t>
  </si>
  <si>
    <t>CTAG</t>
  </si>
  <si>
    <t>Customs + Trucking + Air + General warehouse</t>
  </si>
  <si>
    <t>CTOG</t>
  </si>
  <si>
    <t>Customs + Trucking + Ocean + General warehouse</t>
  </si>
  <si>
    <t>CTGB</t>
  </si>
  <si>
    <t>Customs + Trucking + General warehouse</t>
  </si>
  <si>
    <t>CAGB</t>
  </si>
  <si>
    <t>Customs + Air + General warehouse</t>
  </si>
  <si>
    <t>COGB</t>
  </si>
  <si>
    <t>Customs + Ocean + General warehouse</t>
  </si>
  <si>
    <t>CGBB</t>
  </si>
  <si>
    <t>Customs + General warehouse</t>
  </si>
  <si>
    <t>TAGB</t>
  </si>
  <si>
    <t>Trucking + Air + General warehouse</t>
  </si>
  <si>
    <t>TOGB</t>
  </si>
  <si>
    <t>Trucking + Ocean + General warehouse</t>
  </si>
  <si>
    <t>TGBB</t>
  </si>
  <si>
    <t>Trucking + General warehouse</t>
  </si>
  <si>
    <t>GBBB</t>
  </si>
  <si>
    <t>General warehouse Only</t>
  </si>
  <si>
    <t>AGBB</t>
  </si>
  <si>
    <t>Air + General warehouse</t>
  </si>
  <si>
    <t>OGBB</t>
  </si>
  <si>
    <t>Ocean + General warehouse</t>
  </si>
  <si>
    <t>CBTG</t>
  </si>
  <si>
    <t>Cross-Border + General warehouse</t>
  </si>
  <si>
    <t>FGBB</t>
  </si>
  <si>
    <t>Booking Agent + General warehouse</t>
  </si>
  <si>
    <t>FTGB</t>
  </si>
  <si>
    <t>Booking Agent + Truck + General warehouse</t>
  </si>
  <si>
    <t>FCGB</t>
  </si>
  <si>
    <t>Booking Agent + Customs + General warehouse</t>
  </si>
  <si>
    <t>FCTG</t>
  </si>
  <si>
    <t>Booking Agent + Customs + Truck + General warehouse</t>
  </si>
  <si>
    <t>TTTB</t>
  </si>
  <si>
    <t>Truck Sea Truck</t>
  </si>
  <si>
    <t>TTBB</t>
  </si>
  <si>
    <t>Truck Air Truck</t>
  </si>
  <si>
    <t>AECO</t>
  </si>
  <si>
    <t>CO only</t>
  </si>
  <si>
    <t>DECO</t>
  </si>
  <si>
    <t>OEFCLCO</t>
  </si>
  <si>
    <t>OELCLCO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</si>
</sst>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[$-409]d/mmm/yy;@"/>
    <numFmt numFmtId="165" formatCode="_(* #,##0_);_(* \(#,##0\);_(* &quot;-&quot;??_);_(@_)"/>
    <numFmt numFmtId="166" formatCode="0.0"/>
    <numFmt numFmtId="167" formatCode="#,##0.00;\-#,##0.00;\-"/>
    <numFmt numFmtId="168" formatCode="[$-409]mmm\-yy;@"/>
    <numFmt numFmtId="169" formatCode="[$-1010409]d/m/yyyy\ h:mm\ AM/PM;@"/>
  </numFmts>
  <fonts count="1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name val="Carlito"/>
    </font>
    <font>
      <sz val="8"/>
      <name val="Aptos Narrow"/>
      <family val="2"/>
      <scheme val="minor"/>
    </font>
    <font>
      <sz val="11"/>
      <name val="ＭＳ Ｐゴシック"/>
      <family val="3"/>
      <charset val="128"/>
    </font>
    <font>
      <sz val="11"/>
      <color theme="1"/>
      <name val="Aptos Narrow"/>
      <family val="2"/>
      <charset val="204"/>
      <scheme val="minor"/>
    </font>
    <font>
      <b/>
      <sz val="10"/>
      <color theme="1"/>
      <name val="Segoe UI"/>
      <family val="2"/>
    </font>
    <font>
      <sz val="10"/>
      <color theme="1"/>
      <name val="Segoe UI"/>
      <family val="2"/>
    </font>
    <font>
      <b/>
      <sz val="10"/>
      <name val="Segoe UI"/>
      <family val="2"/>
    </font>
    <font>
      <sz val="10"/>
      <name val="Segoe UI"/>
      <family val="2"/>
    </font>
    <font>
      <b/>
      <sz val="11"/>
      <color theme="1"/>
      <name val="Aptos Narrow"/>
      <family val="2"/>
      <scheme val="minor"/>
    </font>
    <font>
      <b/>
      <sz val="10"/>
      <name val="Calibri (Body)"/>
    </font>
    <font>
      <sz val="11"/>
      <name val="Aptos Narrow"/>
      <family val="2"/>
      <scheme val="minor"/>
    </font>
    <font>
      <sz val="11"/>
      <color rgb="FFFF0000"/>
      <name val="Aptos Narrow"/>
      <family val="2"/>
    </font>
  </fonts>
  <fills count="11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5" tint="0.59999389629810485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6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/>
    <xf numFmtId="164" fontId="4" fillId="0" borderId="0"/>
    <xf numFmtId="0" fontId="5" fillId="0" borderId="0"/>
  </cellStyleXfs>
  <cellXfs count="99">
    <xf numFmtId="0" fontId="0" fillId="0" borderId="0" xfId="0"/>
    <xf numFmtId="0" fontId="6" fillId="0" borderId="0" xfId="0" applyFont="1" applyAlignment="1">
      <alignment horizontal="left" vertical="center"/>
    </xf>
    <xf numFmtId="0" fontId="7" fillId="0" borderId="0" xfId="0" applyFont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8" fillId="0" borderId="0" xfId="0" applyFont="1" applyAlignment="1">
      <alignment vertical="center"/>
    </xf>
    <xf numFmtId="0" fontId="9" fillId="0" borderId="0" xfId="0" applyFont="1" applyAlignment="1">
      <alignment vertical="center"/>
    </xf>
    <xf numFmtId="0" fontId="8" fillId="4" borderId="4" xfId="0" applyFont="1" applyFill="1" applyBorder="1" applyAlignment="1">
      <alignment horizontal="center" vertical="center"/>
    </xf>
    <xf numFmtId="0" fontId="8" fillId="4" borderId="4" xfId="3" applyFont="1" applyFill="1" applyBorder="1" applyAlignment="1">
      <alignment horizontal="center" vertical="center" wrapText="1"/>
    </xf>
    <xf numFmtId="0" fontId="8" fillId="4" borderId="4" xfId="0" applyFont="1" applyFill="1" applyBorder="1" applyAlignment="1">
      <alignment horizontal="center" vertical="center" wrapText="1"/>
    </xf>
    <xf numFmtId="0" fontId="9" fillId="0" borderId="4" xfId="0" applyFont="1" applyBorder="1" applyAlignment="1">
      <alignment horizontal="center" vertical="center"/>
    </xf>
    <xf numFmtId="0" fontId="8" fillId="5" borderId="4" xfId="3" applyFont="1" applyFill="1" applyBorder="1" applyAlignment="1">
      <alignment horizontal="center" vertical="center" wrapText="1"/>
    </xf>
    <xf numFmtId="0" fontId="9" fillId="0" borderId="4" xfId="0" applyFont="1" applyBorder="1" applyAlignment="1">
      <alignment vertical="center"/>
    </xf>
    <xf numFmtId="0" fontId="9" fillId="5" borderId="4" xfId="0" applyFont="1" applyFill="1" applyBorder="1" applyAlignment="1">
      <alignment vertical="center"/>
    </xf>
    <xf numFmtId="9" fontId="8" fillId="0" borderId="4" xfId="2" applyFont="1" applyBorder="1" applyAlignment="1">
      <alignment vertical="center"/>
    </xf>
    <xf numFmtId="9" fontId="9" fillId="5" borderId="4" xfId="0" applyNumberFormat="1" applyFont="1" applyFill="1" applyBorder="1" applyAlignment="1">
      <alignment vertical="center"/>
    </xf>
    <xf numFmtId="0" fontId="9" fillId="2" borderId="4" xfId="3" applyFont="1" applyFill="1" applyBorder="1" applyAlignment="1">
      <alignment horizontal="center" vertical="center" wrapText="1"/>
    </xf>
    <xf numFmtId="166" fontId="9" fillId="2" borderId="4" xfId="3" applyNumberFormat="1" applyFont="1" applyFill="1" applyBorder="1" applyAlignment="1">
      <alignment horizontal="center" vertical="center" wrapText="1"/>
    </xf>
    <xf numFmtId="166" fontId="9" fillId="5" borderId="4" xfId="0" applyNumberFormat="1" applyFont="1" applyFill="1" applyBorder="1" applyAlignment="1">
      <alignment vertical="center"/>
    </xf>
    <xf numFmtId="0" fontId="8" fillId="0" borderId="0" xfId="0" applyFont="1" applyAlignment="1">
      <alignment horizontal="left" vertical="center"/>
    </xf>
    <xf numFmtId="0" fontId="9" fillId="0" borderId="0" xfId="0" applyFont="1" applyAlignment="1">
      <alignment horizontal="center" vertical="center"/>
    </xf>
    <xf numFmtId="0" fontId="9" fillId="0" borderId="0" xfId="1" applyNumberFormat="1" applyFont="1" applyAlignment="1">
      <alignment horizontal="center" vertical="center"/>
    </xf>
    <xf numFmtId="165" fontId="9" fillId="0" borderId="0" xfId="1" applyNumberFormat="1" applyFont="1" applyAlignment="1">
      <alignment horizontal="center" vertical="center"/>
    </xf>
    <xf numFmtId="0" fontId="8" fillId="4" borderId="4" xfId="1" applyNumberFormat="1" applyFont="1" applyFill="1" applyBorder="1" applyAlignment="1">
      <alignment horizontal="center" vertical="center" wrapText="1"/>
    </xf>
    <xf numFmtId="165" fontId="8" fillId="4" borderId="4" xfId="1" applyNumberFormat="1" applyFont="1" applyFill="1" applyBorder="1" applyAlignment="1">
      <alignment horizontal="center" vertical="center"/>
    </xf>
    <xf numFmtId="0" fontId="9" fillId="0" borderId="4" xfId="1" applyNumberFormat="1" applyFont="1" applyBorder="1" applyAlignment="1">
      <alignment horizontal="center" vertical="center"/>
    </xf>
    <xf numFmtId="165" fontId="9" fillId="0" borderId="4" xfId="1" applyNumberFormat="1" applyFont="1" applyBorder="1" applyAlignment="1">
      <alignment horizontal="center" vertical="center"/>
    </xf>
    <xf numFmtId="165" fontId="8" fillId="0" borderId="4" xfId="1" applyNumberFormat="1" applyFont="1" applyBorder="1" applyAlignment="1">
      <alignment horizontal="center" vertical="center"/>
    </xf>
    <xf numFmtId="165" fontId="9" fillId="0" borderId="4" xfId="1" applyNumberFormat="1" applyFont="1" applyBorder="1" applyAlignment="1">
      <alignment horizontal="center" vertical="center" wrapText="1"/>
    </xf>
    <xf numFmtId="0" fontId="9" fillId="2" borderId="4" xfId="1" applyNumberFormat="1" applyFont="1" applyFill="1" applyBorder="1" applyAlignment="1">
      <alignment horizontal="center" vertical="center" wrapText="1"/>
    </xf>
    <xf numFmtId="165" fontId="9" fillId="2" borderId="4" xfId="1" applyNumberFormat="1" applyFont="1" applyFill="1" applyBorder="1" applyAlignment="1">
      <alignment horizontal="center" vertical="center" wrapText="1"/>
    </xf>
    <xf numFmtId="9" fontId="9" fillId="0" borderId="0" xfId="2" applyFont="1" applyAlignment="1">
      <alignment horizontal="center" vertical="center"/>
    </xf>
    <xf numFmtId="0" fontId="8" fillId="4" borderId="3" xfId="0" applyFont="1" applyFill="1" applyBorder="1" applyAlignment="1">
      <alignment horizontal="center" vertical="center" wrapText="1"/>
    </xf>
    <xf numFmtId="9" fontId="8" fillId="4" borderId="3" xfId="2" applyFont="1" applyFill="1" applyBorder="1" applyAlignment="1">
      <alignment horizontal="center" vertical="center" wrapText="1"/>
    </xf>
    <xf numFmtId="0" fontId="9" fillId="0" borderId="0" xfId="0" applyFont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9" fillId="3" borderId="3" xfId="0" applyFont="1" applyFill="1" applyBorder="1" applyAlignment="1">
      <alignment horizontal="center" vertical="center"/>
    </xf>
    <xf numFmtId="0" fontId="9" fillId="3" borderId="2" xfId="5" applyFont="1" applyFill="1" applyBorder="1" applyAlignment="1">
      <alignment horizontal="center" vertical="center"/>
    </xf>
    <xf numFmtId="165" fontId="9" fillId="0" borderId="3" xfId="1" applyNumberFormat="1" applyFont="1" applyBorder="1" applyAlignment="1">
      <alignment horizontal="center" vertical="center"/>
    </xf>
    <xf numFmtId="165" fontId="8" fillId="6" borderId="3" xfId="0" applyNumberFormat="1" applyFont="1" applyFill="1" applyBorder="1" applyAlignment="1">
      <alignment horizontal="center" vertical="center"/>
    </xf>
    <xf numFmtId="165" fontId="9" fillId="3" borderId="2" xfId="1" applyNumberFormat="1" applyFont="1" applyFill="1" applyBorder="1" applyAlignment="1">
      <alignment horizontal="center" vertical="center"/>
    </xf>
    <xf numFmtId="0" fontId="9" fillId="3" borderId="3" xfId="5" applyFont="1" applyFill="1" applyBorder="1" applyAlignment="1">
      <alignment horizontal="center" vertical="center"/>
    </xf>
    <xf numFmtId="165" fontId="9" fillId="3" borderId="3" xfId="1" applyNumberFormat="1" applyFont="1" applyFill="1" applyBorder="1" applyAlignment="1">
      <alignment horizontal="center" vertical="center"/>
    </xf>
    <xf numFmtId="0" fontId="6" fillId="0" borderId="0" xfId="0" applyFont="1"/>
    <xf numFmtId="0" fontId="7" fillId="0" borderId="0" xfId="0" applyFont="1"/>
    <xf numFmtId="0" fontId="6" fillId="4" borderId="4" xfId="0" applyFont="1" applyFill="1" applyBorder="1" applyAlignment="1">
      <alignment horizontal="center" vertical="center"/>
    </xf>
    <xf numFmtId="168" fontId="6" fillId="4" borderId="4" xfId="0" applyNumberFormat="1" applyFont="1" applyFill="1" applyBorder="1" applyAlignment="1">
      <alignment horizontal="center" vertical="center"/>
    </xf>
    <xf numFmtId="0" fontId="7" fillId="0" borderId="4" xfId="0" applyFont="1" applyBorder="1" applyAlignment="1">
      <alignment horizontal="center"/>
    </xf>
    <xf numFmtId="0" fontId="7" fillId="0" borderId="4" xfId="0" applyFont="1" applyBorder="1" applyAlignment="1">
      <alignment horizontal="center" vertical="center" wrapText="1"/>
    </xf>
    <xf numFmtId="0" fontId="7" fillId="0" borderId="4" xfId="0" applyFont="1" applyBorder="1"/>
    <xf numFmtId="0" fontId="7" fillId="0" borderId="4" xfId="0" applyFont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0" fontId="6" fillId="5" borderId="4" xfId="0" applyFont="1" applyFill="1" applyBorder="1"/>
    <xf numFmtId="0" fontId="6" fillId="6" borderId="4" xfId="0" applyFont="1" applyFill="1" applyBorder="1" applyAlignment="1">
      <alignment horizontal="center" vertical="center"/>
    </xf>
    <xf numFmtId="0" fontId="6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6" fillId="4" borderId="3" xfId="0" applyFont="1" applyFill="1" applyBorder="1" applyAlignment="1">
      <alignment horizontal="center" vertical="center"/>
    </xf>
    <xf numFmtId="167" fontId="7" fillId="0" borderId="5" xfId="0" applyNumberFormat="1" applyFont="1" applyBorder="1" applyAlignment="1">
      <alignment vertical="center"/>
    </xf>
    <xf numFmtId="167" fontId="7" fillId="0" borderId="4" xfId="0" applyNumberFormat="1" applyFont="1" applyBorder="1" applyAlignment="1">
      <alignment vertical="center"/>
    </xf>
    <xf numFmtId="0" fontId="7" fillId="0" borderId="4" xfId="0" applyFont="1" applyBorder="1" applyAlignment="1">
      <alignment vertical="center"/>
    </xf>
    <xf numFmtId="165" fontId="7" fillId="0" borderId="0" xfId="1" applyNumberFormat="1" applyFont="1"/>
    <xf numFmtId="0" fontId="6" fillId="4" borderId="1" xfId="0" applyFont="1" applyFill="1" applyBorder="1" applyAlignment="1">
      <alignment horizontal="center" vertical="center"/>
    </xf>
    <xf numFmtId="16" fontId="6" fillId="4" borderId="3" xfId="0" quotePrefix="1" applyNumberFormat="1" applyFont="1" applyFill="1" applyBorder="1" applyAlignment="1">
      <alignment horizontal="center" vertical="center"/>
    </xf>
    <xf numFmtId="0" fontId="6" fillId="4" borderId="3" xfId="0" quotePrefix="1" applyFont="1" applyFill="1" applyBorder="1" applyAlignment="1">
      <alignment horizontal="center" vertical="center"/>
    </xf>
    <xf numFmtId="165" fontId="6" fillId="4" borderId="3" xfId="1" applyNumberFormat="1" applyFont="1" applyFill="1" applyBorder="1" applyAlignment="1">
      <alignment horizontal="center" vertical="center"/>
    </xf>
    <xf numFmtId="165" fontId="7" fillId="0" borderId="3" xfId="1" applyNumberFormat="1" applyFont="1" applyFill="1" applyBorder="1" applyAlignment="1">
      <alignment horizontal="center" vertical="center"/>
    </xf>
    <xf numFmtId="165" fontId="7" fillId="0" borderId="3" xfId="1" applyNumberFormat="1" applyFont="1" applyFill="1" applyBorder="1"/>
    <xf numFmtId="165" fontId="6" fillId="5" borderId="3" xfId="1" applyNumberFormat="1" applyFont="1" applyFill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165" fontId="6" fillId="0" borderId="3" xfId="1" applyNumberFormat="1" applyFont="1" applyFill="1" applyBorder="1" applyAlignment="1">
      <alignment horizontal="center" vertical="center"/>
    </xf>
    <xf numFmtId="0" fontId="7" fillId="0" borderId="4" xfId="0" applyFont="1" applyBorder="1" applyAlignment="1">
      <alignment horizontal="left" vertical="center" wrapText="1"/>
    </xf>
    <xf numFmtId="165" fontId="7" fillId="0" borderId="4" xfId="1" applyNumberFormat="1" applyFont="1" applyBorder="1" applyAlignment="1">
      <alignment horizontal="center" vertical="center"/>
    </xf>
    <xf numFmtId="165" fontId="7" fillId="0" borderId="4" xfId="1" applyNumberFormat="1" applyFont="1" applyBorder="1" applyAlignment="1">
      <alignment vertical="center"/>
    </xf>
    <xf numFmtId="165" fontId="7" fillId="0" borderId="0" xfId="1" applyNumberFormat="1" applyFont="1" applyAlignment="1">
      <alignment vertical="center"/>
    </xf>
    <xf numFmtId="165" fontId="6" fillId="5" borderId="4" xfId="1" applyNumberFormat="1" applyFont="1" applyFill="1" applyBorder="1" applyAlignment="1">
      <alignment vertical="center"/>
    </xf>
    <xf numFmtId="0" fontId="7" fillId="0" borderId="3" xfId="0" applyFont="1" applyBorder="1" applyAlignment="1">
      <alignment horizontal="left" vertical="center"/>
    </xf>
    <xf numFmtId="0" fontId="6" fillId="0" borderId="3" xfId="0" applyFont="1" applyBorder="1" applyAlignment="1">
      <alignment horizontal="left" vertical="center"/>
    </xf>
    <xf numFmtId="9" fontId="8" fillId="0" borderId="3" xfId="2" applyFont="1" applyBorder="1" applyAlignment="1">
      <alignment horizontal="center" vertical="center"/>
    </xf>
    <xf numFmtId="0" fontId="9" fillId="0" borderId="3" xfId="5" applyFont="1" applyBorder="1" applyAlignment="1">
      <alignment horizontal="center" vertical="center"/>
    </xf>
    <xf numFmtId="165" fontId="9" fillId="0" borderId="3" xfId="1" applyNumberFormat="1" applyFont="1" applyFill="1" applyBorder="1" applyAlignment="1">
      <alignment horizontal="center" vertical="center"/>
    </xf>
    <xf numFmtId="165" fontId="8" fillId="0" borderId="3" xfId="0" applyNumberFormat="1" applyFont="1" applyBorder="1" applyAlignment="1">
      <alignment horizontal="center" vertical="center"/>
    </xf>
    <xf numFmtId="9" fontId="8" fillId="0" borderId="3" xfId="2" applyFont="1" applyFill="1" applyBorder="1" applyAlignment="1">
      <alignment horizontal="center" vertical="center"/>
    </xf>
    <xf numFmtId="0" fontId="6" fillId="7" borderId="4" xfId="0" applyFont="1" applyFill="1" applyBorder="1" applyAlignment="1">
      <alignment horizontal="center" vertical="center"/>
    </xf>
    <xf numFmtId="165" fontId="9" fillId="0" borderId="0" xfId="0" applyNumberFormat="1" applyFont="1" applyAlignment="1">
      <alignment horizontal="center" vertical="center"/>
    </xf>
    <xf numFmtId="0" fontId="10" fillId="0" borderId="0" xfId="0" applyFont="1"/>
    <xf numFmtId="0" fontId="9" fillId="0" borderId="0" xfId="0" applyFont="1" applyAlignment="1">
      <alignment horizontal="center" vertical="center"/>
    </xf>
    <xf numFmtId="165" fontId="9" fillId="8" borderId="3" xfId="1" applyNumberFormat="1" applyFont="1" applyFill="1" applyBorder="1" applyAlignment="1">
      <alignment horizontal="center" vertical="center"/>
    </xf>
    <xf numFmtId="169" fontId="11" fillId="9" borderId="4" xfId="5" applyNumberFormat="1" applyFont="1" applyFill="1" applyBorder="1" applyAlignment="1" applyProtection="1">
      <alignment horizontal="center" vertical="center" wrapText="1"/>
      <protection locked="0"/>
    </xf>
    <xf numFmtId="169" fontId="11" fillId="9" borderId="1" xfId="5" applyNumberFormat="1" applyFont="1" applyFill="1" applyBorder="1" applyAlignment="1" applyProtection="1">
      <alignment horizontal="center" vertical="center" wrapText="1"/>
      <protection locked="0"/>
    </xf>
    <xf numFmtId="0" fontId="0" fillId="0" borderId="4" xfId="0" applyBorder="1"/>
    <xf numFmtId="164" fontId="12" fillId="0" borderId="4" xfId="4" applyFont="1" applyBorder="1" applyAlignment="1">
      <alignment vertical="center"/>
    </xf>
    <xf numFmtId="0" fontId="12" fillId="10" borderId="4" xfId="0" applyFont="1" applyFill="1" applyBorder="1" applyAlignment="1">
      <alignment vertical="center"/>
    </xf>
    <xf numFmtId="0" fontId="12" fillId="10" borderId="1" xfId="0" applyFont="1" applyFill="1" applyBorder="1" applyAlignment="1">
      <alignment vertical="center"/>
    </xf>
    <xf numFmtId="0" fontId="0" fillId="8" borderId="0" xfId="0" applyFill="1" applyAlignment="1">
      <alignment horizontal="left" vertical="center"/>
    </xf>
    <xf numFmtId="0" fontId="0" fillId="0" borderId="0" xfId="0" applyAlignment="1">
      <alignment horizontal="left"/>
    </xf>
    <xf numFmtId="0" fontId="0" fillId="0" borderId="4" xfId="0" applyBorder="1" applyAlignment="1">
      <alignment horizontal="left"/>
    </xf>
    <xf numFmtId="0" fontId="0" fillId="3" borderId="4" xfId="0" applyFill="1" applyBorder="1" applyAlignment="1">
      <alignment horizontal="left"/>
    </xf>
    <xf numFmtId="0" fontId="13" fillId="3" borderId="4" xfId="0" applyFont="1" applyFill="1" applyBorder="1" applyAlignment="1">
      <alignment horizontal="left"/>
    </xf>
    <xf numFmtId="0" fontId="0" fillId="3" borderId="6" xfId="0" applyFill="1" applyBorder="1" applyAlignment="1">
      <alignment horizontal="left"/>
    </xf>
    <xf numFmtId="0" fontId="9" fillId="8" borderId="0" xfId="0" applyFont="1" applyFill="1" applyAlignment="1">
      <alignment horizontal="center" vertical="center"/>
    </xf>
  </cellXfs>
  <cellStyles count="6">
    <cellStyle name="Comma" xfId="1" builtinId="3"/>
    <cellStyle name="Normal" xfId="0" builtinId="0"/>
    <cellStyle name="Normal 2" xfId="3" xr:uid="{E46A58A0-1B38-4921-8DA3-4AA597AB269E}"/>
    <cellStyle name="Normal 5 2 2" xfId="5" xr:uid="{FF012F4F-F4E6-4AF1-B496-9A13D76F786A}"/>
    <cellStyle name="Percent" xfId="2" builtinId="5"/>
    <cellStyle name="標準_1問題1シートBlank" xfId="4" xr:uid="{A683D387-F1ED-42C3-928D-68831043DFA8}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theme="5"/>
        </patternFill>
      </fill>
    </dxf>
    <dxf>
      <fill>
        <patternFill>
          <bgColor theme="9"/>
        </patternFill>
      </fill>
    </dxf>
    <dxf>
      <fill>
        <patternFill>
          <bgColor theme="0" tint="-0.1499679555650502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419100</xdr:colOff>
      <xdr:row>2</xdr:row>
      <xdr:rowOff>69850</xdr:rowOff>
    </xdr:from>
    <xdr:to>
      <xdr:col>5</xdr:col>
      <xdr:colOff>393093</xdr:colOff>
      <xdr:row>7</xdr:row>
      <xdr:rowOff>44338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1E1446E-935B-3515-9DA6-5714F426E9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19100" y="438150"/>
          <a:ext cx="4857143" cy="89523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5AA87E-D01F-4073-9415-9ED2187F1400}">
  <dimension ref="A1:M50"/>
  <sheetViews>
    <sheetView zoomScale="70" zoomScaleNormal="70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N3" sqref="N3"/>
    </sheetView>
  </sheetViews>
  <sheetFormatPr defaultRowHeight="16"/>
  <cols>
    <col min="1" max="1" width="10.90625" style="5" bestFit="1" customWidth="1"/>
    <col min="2" max="2" width="6.6328125" style="5" bestFit="1" customWidth="1"/>
    <col min="3" max="4" width="12.1796875" style="5" bestFit="1" customWidth="1"/>
    <col min="5" max="5" width="12.6328125" style="5" bestFit="1" customWidth="1"/>
    <col min="6" max="7" width="11" style="5" bestFit="1" customWidth="1"/>
    <col min="8" max="8" width="11.36328125" style="5" bestFit="1" customWidth="1"/>
    <col min="9" max="10" width="11.54296875" style="5" bestFit="1" customWidth="1"/>
    <col min="11" max="11" width="11.81640625" style="5" bestFit="1" customWidth="1"/>
    <col min="12" max="12" width="12.90625" style="5" bestFit="1" customWidth="1"/>
    <col min="13" max="13" width="9.26953125" style="5" bestFit="1" customWidth="1"/>
    <col min="14" max="16384" width="8.7265625" style="5"/>
  </cols>
  <sheetData>
    <row r="1" spans="1:13">
      <c r="A1" s="4" t="s">
        <v>19</v>
      </c>
    </row>
    <row r="2" spans="1:13" ht="33" customHeight="1">
      <c r="A2" s="6" t="s">
        <v>5</v>
      </c>
      <c r="B2" s="6" t="s">
        <v>6</v>
      </c>
      <c r="C2" s="7" t="s">
        <v>286</v>
      </c>
      <c r="D2" s="7" t="s">
        <v>287</v>
      </c>
      <c r="E2" s="7" t="s">
        <v>288</v>
      </c>
      <c r="F2" s="7" t="s">
        <v>289</v>
      </c>
      <c r="G2" s="7" t="s">
        <v>290</v>
      </c>
      <c r="H2" s="7" t="s">
        <v>291</v>
      </c>
      <c r="I2" s="7" t="s">
        <v>292</v>
      </c>
      <c r="J2" s="7" t="s">
        <v>293</v>
      </c>
      <c r="K2" s="7" t="s">
        <v>294</v>
      </c>
      <c r="L2" s="8" t="s">
        <v>295</v>
      </c>
      <c r="M2" s="8" t="s">
        <v>296</v>
      </c>
    </row>
    <row r="3" spans="1:13">
      <c r="A3" s="9" t="s">
        <v>2</v>
      </c>
      <c r="B3" s="9" t="s">
        <v>7</v>
      </c>
      <c r="C3" s="9">
        <v>2</v>
      </c>
      <c r="D3" s="9">
        <v>9</v>
      </c>
      <c r="E3" s="10">
        <f>SUM(C3:D3)</f>
        <v>11</v>
      </c>
      <c r="F3" s="9">
        <v>2</v>
      </c>
      <c r="G3" s="9">
        <v>9</v>
      </c>
      <c r="H3" s="10">
        <f>SUM(F3:G3)</f>
        <v>11</v>
      </c>
      <c r="I3" s="11">
        <v>2</v>
      </c>
      <c r="J3" s="11">
        <v>9.56</v>
      </c>
      <c r="K3" s="12">
        <f>J3+I3</f>
        <v>11.56</v>
      </c>
      <c r="L3" s="13">
        <f>IF(K3&gt;0,K3/H3,"")</f>
        <v>1.050909090909091</v>
      </c>
      <c r="M3" s="11" t="str">
        <f>IF(L3="","",IF(L3&gt;100%,"Overload",IF(L3&gt;95%,"High Load",IF(L3&gt;=90%,"Balanced","Low Load"))))</f>
        <v>Overload</v>
      </c>
    </row>
    <row r="4" spans="1:13">
      <c r="A4" s="9" t="s">
        <v>2</v>
      </c>
      <c r="B4" s="9" t="s">
        <v>8</v>
      </c>
      <c r="C4" s="9">
        <v>2</v>
      </c>
      <c r="D4" s="9">
        <v>9</v>
      </c>
      <c r="E4" s="10">
        <f t="shared" ref="E4" si="0">SUM(C4:D4)</f>
        <v>11</v>
      </c>
      <c r="F4" s="9">
        <v>2</v>
      </c>
      <c r="G4" s="9">
        <v>9</v>
      </c>
      <c r="H4" s="10">
        <f t="shared" ref="H4" si="1">SUM(F4:G4)</f>
        <v>11</v>
      </c>
      <c r="I4" s="11">
        <v>2</v>
      </c>
      <c r="J4" s="11">
        <v>9.3800000000000008</v>
      </c>
      <c r="K4" s="12">
        <f>J4+I4</f>
        <v>11.38</v>
      </c>
      <c r="L4" s="13">
        <f t="shared" ref="L4:L50" si="2">IF(K4&gt;0,K4/H4,"")</f>
        <v>1.0345454545454547</v>
      </c>
      <c r="M4" s="11" t="str">
        <f t="shared" ref="M4:M13" si="3">IF(L4="","",IF(L4&gt;100%,"Overload",IF(L4&gt;95%,"High Load",IF(L4&gt;=90%,"Balanced","Low Load"))))</f>
        <v>Overload</v>
      </c>
    </row>
    <row r="5" spans="1:13">
      <c r="A5" s="9" t="s">
        <v>2</v>
      </c>
      <c r="B5" s="9" t="s">
        <v>9</v>
      </c>
      <c r="C5" s="9"/>
      <c r="D5" s="9"/>
      <c r="E5" s="10"/>
      <c r="F5" s="9"/>
      <c r="G5" s="9"/>
      <c r="H5" s="10"/>
      <c r="I5" s="11"/>
      <c r="J5" s="11"/>
      <c r="K5" s="12"/>
      <c r="L5" s="13" t="str">
        <f t="shared" si="2"/>
        <v/>
      </c>
      <c r="M5" s="11" t="str">
        <f t="shared" si="3"/>
        <v/>
      </c>
    </row>
    <row r="6" spans="1:13">
      <c r="A6" s="9" t="s">
        <v>2</v>
      </c>
      <c r="B6" s="9" t="s">
        <v>10</v>
      </c>
      <c r="C6" s="9"/>
      <c r="D6" s="9"/>
      <c r="E6" s="10"/>
      <c r="F6" s="9"/>
      <c r="G6" s="9"/>
      <c r="H6" s="10"/>
      <c r="I6" s="11"/>
      <c r="J6" s="11"/>
      <c r="K6" s="12"/>
      <c r="L6" s="13" t="str">
        <f t="shared" si="2"/>
        <v/>
      </c>
      <c r="M6" s="11" t="str">
        <f t="shared" si="3"/>
        <v/>
      </c>
    </row>
    <row r="7" spans="1:13">
      <c r="A7" s="9" t="s">
        <v>2</v>
      </c>
      <c r="B7" s="9" t="s">
        <v>11</v>
      </c>
      <c r="C7" s="9"/>
      <c r="D7" s="9"/>
      <c r="E7" s="12"/>
      <c r="F7" s="9"/>
      <c r="G7" s="9"/>
      <c r="H7" s="12"/>
      <c r="I7" s="11"/>
      <c r="J7" s="11"/>
      <c r="K7" s="12"/>
      <c r="L7" s="13" t="str">
        <f t="shared" si="2"/>
        <v/>
      </c>
      <c r="M7" s="11" t="str">
        <f t="shared" si="3"/>
        <v/>
      </c>
    </row>
    <row r="8" spans="1:13">
      <c r="A8" s="9" t="s">
        <v>2</v>
      </c>
      <c r="B8" s="9" t="s">
        <v>12</v>
      </c>
      <c r="C8" s="9"/>
      <c r="D8" s="9"/>
      <c r="E8" s="12"/>
      <c r="F8" s="9"/>
      <c r="G8" s="9"/>
      <c r="H8" s="12"/>
      <c r="I8" s="11"/>
      <c r="J8" s="11"/>
      <c r="K8" s="12"/>
      <c r="L8" s="13" t="str">
        <f t="shared" si="2"/>
        <v/>
      </c>
      <c r="M8" s="11" t="str">
        <f t="shared" si="3"/>
        <v/>
      </c>
    </row>
    <row r="9" spans="1:13">
      <c r="A9" s="9" t="s">
        <v>2</v>
      </c>
      <c r="B9" s="9" t="s">
        <v>13</v>
      </c>
      <c r="C9" s="11"/>
      <c r="D9" s="11"/>
      <c r="E9" s="12"/>
      <c r="F9" s="11"/>
      <c r="G9" s="11"/>
      <c r="H9" s="12"/>
      <c r="I9" s="11"/>
      <c r="J9" s="11"/>
      <c r="K9" s="12"/>
      <c r="L9" s="13" t="str">
        <f t="shared" si="2"/>
        <v/>
      </c>
      <c r="M9" s="11" t="str">
        <f t="shared" si="3"/>
        <v/>
      </c>
    </row>
    <row r="10" spans="1:13">
      <c r="A10" s="9" t="s">
        <v>2</v>
      </c>
      <c r="B10" s="9" t="s">
        <v>14</v>
      </c>
      <c r="C10" s="11"/>
      <c r="D10" s="11"/>
      <c r="E10" s="12"/>
      <c r="F10" s="11"/>
      <c r="G10" s="11"/>
      <c r="H10" s="12"/>
      <c r="I10" s="11"/>
      <c r="J10" s="11"/>
      <c r="K10" s="12"/>
      <c r="L10" s="13" t="str">
        <f t="shared" si="2"/>
        <v/>
      </c>
      <c r="M10" s="11" t="str">
        <f t="shared" si="3"/>
        <v/>
      </c>
    </row>
    <row r="11" spans="1:13">
      <c r="A11" s="9" t="s">
        <v>2</v>
      </c>
      <c r="B11" s="9" t="s">
        <v>15</v>
      </c>
      <c r="C11" s="11"/>
      <c r="D11" s="11"/>
      <c r="E11" s="12"/>
      <c r="F11" s="11"/>
      <c r="G11" s="11"/>
      <c r="H11" s="12"/>
      <c r="I11" s="11"/>
      <c r="J11" s="11"/>
      <c r="K11" s="12"/>
      <c r="L11" s="13" t="str">
        <f t="shared" si="2"/>
        <v/>
      </c>
      <c r="M11" s="11" t="str">
        <f t="shared" si="3"/>
        <v/>
      </c>
    </row>
    <row r="12" spans="1:13">
      <c r="A12" s="9" t="s">
        <v>2</v>
      </c>
      <c r="B12" s="9" t="s">
        <v>16</v>
      </c>
      <c r="C12" s="11"/>
      <c r="D12" s="11"/>
      <c r="E12" s="12"/>
      <c r="F12" s="11"/>
      <c r="G12" s="11"/>
      <c r="H12" s="12"/>
      <c r="I12" s="11"/>
      <c r="J12" s="11"/>
      <c r="K12" s="12"/>
      <c r="L12" s="13" t="str">
        <f t="shared" si="2"/>
        <v/>
      </c>
      <c r="M12" s="11" t="str">
        <f t="shared" si="3"/>
        <v/>
      </c>
    </row>
    <row r="13" spans="1:13">
      <c r="A13" s="9" t="s">
        <v>2</v>
      </c>
      <c r="B13" s="9" t="s">
        <v>17</v>
      </c>
      <c r="C13" s="11"/>
      <c r="D13" s="11"/>
      <c r="E13" s="12"/>
      <c r="F13" s="11"/>
      <c r="G13" s="11"/>
      <c r="H13" s="12"/>
      <c r="I13" s="11"/>
      <c r="J13" s="11"/>
      <c r="K13" s="12"/>
      <c r="L13" s="13" t="str">
        <f t="shared" si="2"/>
        <v/>
      </c>
      <c r="M13" s="11" t="str">
        <f t="shared" si="3"/>
        <v/>
      </c>
    </row>
    <row r="14" spans="1:13">
      <c r="A14" s="9" t="s">
        <v>2</v>
      </c>
      <c r="B14" s="9" t="s">
        <v>18</v>
      </c>
      <c r="C14" s="11"/>
      <c r="D14" s="11"/>
      <c r="E14" s="14"/>
      <c r="F14" s="11"/>
      <c r="G14" s="11"/>
      <c r="H14" s="12"/>
      <c r="I14" s="11"/>
      <c r="J14" s="11"/>
      <c r="K14" s="12"/>
      <c r="L14" s="13" t="str">
        <f t="shared" si="2"/>
        <v/>
      </c>
      <c r="M14" s="11" t="str">
        <f>IF(L14="","",IF(L14&gt;100%,"Overload",IF(L14&gt;95%,"High Load",IF(L14&gt;=90%,"Balanced","Low Load"))))</f>
        <v/>
      </c>
    </row>
    <row r="15" spans="1:13">
      <c r="A15" s="9" t="s">
        <v>1</v>
      </c>
      <c r="B15" s="9" t="s">
        <v>7</v>
      </c>
      <c r="C15" s="15">
        <v>2</v>
      </c>
      <c r="D15" s="15">
        <v>20</v>
      </c>
      <c r="E15" s="10">
        <f t="shared" ref="E15:E16" si="4">SUM(C15:D15)</f>
        <v>22</v>
      </c>
      <c r="F15" s="15">
        <v>2</v>
      </c>
      <c r="G15" s="15">
        <v>20</v>
      </c>
      <c r="H15" s="10">
        <f t="shared" ref="H15:H16" si="5">SUM(F15:G15)</f>
        <v>22</v>
      </c>
      <c r="I15" s="11">
        <v>2</v>
      </c>
      <c r="J15" s="11">
        <v>20.5</v>
      </c>
      <c r="K15" s="12">
        <f>J15+I15</f>
        <v>22.5</v>
      </c>
      <c r="L15" s="13">
        <f t="shared" si="2"/>
        <v>1.0227272727272727</v>
      </c>
      <c r="M15" s="11" t="str">
        <f>IF(L15="","",IF(L15&gt;100%,"Overload",IF(L15&gt;95%,"High Load",IF(L15&gt;=90%,"Balanced","Low Load"))))</f>
        <v>Overload</v>
      </c>
    </row>
    <row r="16" spans="1:13">
      <c r="A16" s="9" t="s">
        <v>1</v>
      </c>
      <c r="B16" s="9" t="s">
        <v>8</v>
      </c>
      <c r="C16" s="15">
        <v>2</v>
      </c>
      <c r="D16" s="15">
        <v>20</v>
      </c>
      <c r="E16" s="10">
        <f t="shared" si="4"/>
        <v>22</v>
      </c>
      <c r="F16" s="15">
        <v>2</v>
      </c>
      <c r="G16" s="15">
        <v>20</v>
      </c>
      <c r="H16" s="10">
        <f t="shared" si="5"/>
        <v>22</v>
      </c>
      <c r="I16" s="11">
        <v>2</v>
      </c>
      <c r="J16" s="11">
        <v>19.8</v>
      </c>
      <c r="K16" s="12">
        <f>J16+I16</f>
        <v>21.8</v>
      </c>
      <c r="L16" s="13">
        <f t="shared" si="2"/>
        <v>0.99090909090909096</v>
      </c>
      <c r="M16" s="11" t="str">
        <f t="shared" ref="M16:M49" si="6">IF(L16="","",IF(L16&gt;100%,"Overload",IF(L16&gt;95%,"High Load",IF(L16&gt;=90%,"Balanced","Low Load"))))</f>
        <v>High Load</v>
      </c>
    </row>
    <row r="17" spans="1:13">
      <c r="A17" s="9" t="s">
        <v>1</v>
      </c>
      <c r="B17" s="9" t="s">
        <v>9</v>
      </c>
      <c r="C17" s="15"/>
      <c r="D17" s="15"/>
      <c r="E17" s="10"/>
      <c r="F17" s="15"/>
      <c r="G17" s="15"/>
      <c r="H17" s="10"/>
      <c r="I17" s="11"/>
      <c r="J17" s="11"/>
      <c r="K17" s="12"/>
      <c r="L17" s="13" t="str">
        <f t="shared" si="2"/>
        <v/>
      </c>
      <c r="M17" s="11" t="str">
        <f t="shared" si="6"/>
        <v/>
      </c>
    </row>
    <row r="18" spans="1:13">
      <c r="A18" s="9" t="s">
        <v>1</v>
      </c>
      <c r="B18" s="9" t="s">
        <v>10</v>
      </c>
      <c r="C18" s="15"/>
      <c r="D18" s="15"/>
      <c r="E18" s="10"/>
      <c r="F18" s="15"/>
      <c r="G18" s="15"/>
      <c r="H18" s="10"/>
      <c r="I18" s="11"/>
      <c r="J18" s="11"/>
      <c r="K18" s="12"/>
      <c r="L18" s="13" t="str">
        <f t="shared" si="2"/>
        <v/>
      </c>
      <c r="M18" s="11" t="str">
        <f t="shared" si="6"/>
        <v/>
      </c>
    </row>
    <row r="19" spans="1:13">
      <c r="A19" s="9" t="s">
        <v>1</v>
      </c>
      <c r="B19" s="9" t="s">
        <v>11</v>
      </c>
      <c r="C19" s="11"/>
      <c r="D19" s="11"/>
      <c r="E19" s="12"/>
      <c r="F19" s="11"/>
      <c r="G19" s="11"/>
      <c r="H19" s="12"/>
      <c r="I19" s="11"/>
      <c r="J19" s="11"/>
      <c r="K19" s="12"/>
      <c r="L19" s="13" t="str">
        <f t="shared" si="2"/>
        <v/>
      </c>
      <c r="M19" s="11" t="str">
        <f t="shared" si="6"/>
        <v/>
      </c>
    </row>
    <row r="20" spans="1:13">
      <c r="A20" s="9" t="s">
        <v>1</v>
      </c>
      <c r="B20" s="9" t="s">
        <v>12</v>
      </c>
      <c r="C20" s="11"/>
      <c r="D20" s="11"/>
      <c r="E20" s="12"/>
      <c r="F20" s="11"/>
      <c r="G20" s="11"/>
      <c r="H20" s="12"/>
      <c r="I20" s="11"/>
      <c r="J20" s="11"/>
      <c r="K20" s="12"/>
      <c r="L20" s="13" t="str">
        <f t="shared" si="2"/>
        <v/>
      </c>
      <c r="M20" s="11" t="str">
        <f t="shared" si="6"/>
        <v/>
      </c>
    </row>
    <row r="21" spans="1:13">
      <c r="A21" s="9" t="s">
        <v>1</v>
      </c>
      <c r="B21" s="9" t="s">
        <v>13</v>
      </c>
      <c r="C21" s="11"/>
      <c r="D21" s="11"/>
      <c r="E21" s="12"/>
      <c r="F21" s="11"/>
      <c r="G21" s="11"/>
      <c r="H21" s="12"/>
      <c r="I21" s="11"/>
      <c r="J21" s="11"/>
      <c r="K21" s="12"/>
      <c r="L21" s="13" t="str">
        <f t="shared" si="2"/>
        <v/>
      </c>
      <c r="M21" s="11" t="str">
        <f t="shared" si="6"/>
        <v/>
      </c>
    </row>
    <row r="22" spans="1:13">
      <c r="A22" s="9" t="s">
        <v>1</v>
      </c>
      <c r="B22" s="9" t="s">
        <v>14</v>
      </c>
      <c r="C22" s="11"/>
      <c r="D22" s="11"/>
      <c r="E22" s="12"/>
      <c r="F22" s="11"/>
      <c r="G22" s="11"/>
      <c r="H22" s="12"/>
      <c r="I22" s="11"/>
      <c r="J22" s="11"/>
      <c r="K22" s="12"/>
      <c r="L22" s="13" t="str">
        <f t="shared" si="2"/>
        <v/>
      </c>
      <c r="M22" s="11" t="str">
        <f t="shared" si="6"/>
        <v/>
      </c>
    </row>
    <row r="23" spans="1:13">
      <c r="A23" s="9" t="s">
        <v>1</v>
      </c>
      <c r="B23" s="9" t="s">
        <v>15</v>
      </c>
      <c r="C23" s="11"/>
      <c r="D23" s="11"/>
      <c r="E23" s="12"/>
      <c r="F23" s="11"/>
      <c r="G23" s="11"/>
      <c r="H23" s="12"/>
      <c r="I23" s="11"/>
      <c r="J23" s="11"/>
      <c r="K23" s="12"/>
      <c r="L23" s="13" t="str">
        <f t="shared" si="2"/>
        <v/>
      </c>
      <c r="M23" s="11" t="str">
        <f t="shared" si="6"/>
        <v/>
      </c>
    </row>
    <row r="24" spans="1:13">
      <c r="A24" s="9" t="s">
        <v>1</v>
      </c>
      <c r="B24" s="9" t="s">
        <v>16</v>
      </c>
      <c r="C24" s="11"/>
      <c r="D24" s="11"/>
      <c r="E24" s="12"/>
      <c r="F24" s="11"/>
      <c r="G24" s="11"/>
      <c r="H24" s="12"/>
      <c r="I24" s="11"/>
      <c r="J24" s="11"/>
      <c r="K24" s="12"/>
      <c r="L24" s="13" t="str">
        <f t="shared" si="2"/>
        <v/>
      </c>
      <c r="M24" s="11" t="str">
        <f t="shared" si="6"/>
        <v/>
      </c>
    </row>
    <row r="25" spans="1:13">
      <c r="A25" s="9" t="s">
        <v>1</v>
      </c>
      <c r="B25" s="9" t="s">
        <v>17</v>
      </c>
      <c r="C25" s="11"/>
      <c r="D25" s="11"/>
      <c r="E25" s="12"/>
      <c r="F25" s="11"/>
      <c r="G25" s="11"/>
      <c r="H25" s="12"/>
      <c r="I25" s="11"/>
      <c r="J25" s="11"/>
      <c r="K25" s="12"/>
      <c r="L25" s="13" t="str">
        <f t="shared" si="2"/>
        <v/>
      </c>
      <c r="M25" s="11" t="str">
        <f t="shared" si="6"/>
        <v/>
      </c>
    </row>
    <row r="26" spans="1:13">
      <c r="A26" s="9" t="s">
        <v>1</v>
      </c>
      <c r="B26" s="9" t="s">
        <v>18</v>
      </c>
      <c r="C26" s="11"/>
      <c r="D26" s="11"/>
      <c r="E26" s="12"/>
      <c r="F26" s="11"/>
      <c r="G26" s="11"/>
      <c r="H26" s="12"/>
      <c r="I26" s="11"/>
      <c r="J26" s="11"/>
      <c r="K26" s="12"/>
      <c r="L26" s="13" t="str">
        <f t="shared" si="2"/>
        <v/>
      </c>
      <c r="M26" s="11" t="str">
        <f t="shared" si="6"/>
        <v/>
      </c>
    </row>
    <row r="27" spans="1:13">
      <c r="A27" s="9" t="s">
        <v>3</v>
      </c>
      <c r="B27" s="9" t="s">
        <v>7</v>
      </c>
      <c r="C27" s="15">
        <v>1</v>
      </c>
      <c r="D27" s="15">
        <v>17</v>
      </c>
      <c r="E27" s="10">
        <f t="shared" ref="E27:E28" si="7">SUM(C27:D27)</f>
        <v>18</v>
      </c>
      <c r="F27" s="15">
        <v>1</v>
      </c>
      <c r="G27" s="15">
        <v>17</v>
      </c>
      <c r="H27" s="10">
        <f>SUM(F27:G27)</f>
        <v>18</v>
      </c>
      <c r="I27" s="11">
        <v>1</v>
      </c>
      <c r="J27" s="16">
        <v>17.5</v>
      </c>
      <c r="K27" s="17">
        <f>J27+I27</f>
        <v>18.5</v>
      </c>
      <c r="L27" s="13">
        <f t="shared" si="2"/>
        <v>1.0277777777777777</v>
      </c>
      <c r="M27" s="11" t="str">
        <f t="shared" si="6"/>
        <v>Overload</v>
      </c>
    </row>
    <row r="28" spans="1:13">
      <c r="A28" s="9" t="s">
        <v>3</v>
      </c>
      <c r="B28" s="9" t="s">
        <v>8</v>
      </c>
      <c r="C28" s="15">
        <v>1</v>
      </c>
      <c r="D28" s="15">
        <v>17</v>
      </c>
      <c r="E28" s="10">
        <f t="shared" si="7"/>
        <v>18</v>
      </c>
      <c r="F28" s="15">
        <v>1</v>
      </c>
      <c r="G28" s="15">
        <v>17</v>
      </c>
      <c r="H28" s="10">
        <f t="shared" ref="H28" si="8">SUM(F28:G28)</f>
        <v>18</v>
      </c>
      <c r="I28" s="11">
        <v>1</v>
      </c>
      <c r="J28" s="11">
        <v>17.8</v>
      </c>
      <c r="K28" s="17">
        <f>J28+I28</f>
        <v>18.8</v>
      </c>
      <c r="L28" s="13">
        <f t="shared" si="2"/>
        <v>1.0444444444444445</v>
      </c>
      <c r="M28" s="11" t="str">
        <f t="shared" si="6"/>
        <v>Overload</v>
      </c>
    </row>
    <row r="29" spans="1:13">
      <c r="A29" s="9" t="s">
        <v>3</v>
      </c>
      <c r="B29" s="9" t="s">
        <v>9</v>
      </c>
      <c r="C29" s="15"/>
      <c r="D29" s="15"/>
      <c r="E29" s="10"/>
      <c r="F29" s="15"/>
      <c r="G29" s="15"/>
      <c r="H29" s="10"/>
      <c r="I29" s="11"/>
      <c r="J29" s="11"/>
      <c r="K29" s="12"/>
      <c r="L29" s="13" t="str">
        <f t="shared" si="2"/>
        <v/>
      </c>
      <c r="M29" s="11" t="str">
        <f t="shared" si="6"/>
        <v/>
      </c>
    </row>
    <row r="30" spans="1:13">
      <c r="A30" s="9" t="s">
        <v>3</v>
      </c>
      <c r="B30" s="9" t="s">
        <v>10</v>
      </c>
      <c r="C30" s="15"/>
      <c r="D30" s="15"/>
      <c r="E30" s="10"/>
      <c r="F30" s="15"/>
      <c r="G30" s="15"/>
      <c r="H30" s="10"/>
      <c r="I30" s="11"/>
      <c r="J30" s="11"/>
      <c r="K30" s="12"/>
      <c r="L30" s="13" t="str">
        <f t="shared" si="2"/>
        <v/>
      </c>
      <c r="M30" s="11" t="str">
        <f t="shared" si="6"/>
        <v/>
      </c>
    </row>
    <row r="31" spans="1:13">
      <c r="A31" s="9" t="s">
        <v>3</v>
      </c>
      <c r="B31" s="9" t="s">
        <v>11</v>
      </c>
      <c r="C31" s="11"/>
      <c r="D31" s="11"/>
      <c r="E31" s="12"/>
      <c r="F31" s="11"/>
      <c r="G31" s="11"/>
      <c r="H31" s="12"/>
      <c r="I31" s="11"/>
      <c r="J31" s="11"/>
      <c r="K31" s="12"/>
      <c r="L31" s="13" t="str">
        <f t="shared" si="2"/>
        <v/>
      </c>
      <c r="M31" s="11" t="str">
        <f t="shared" si="6"/>
        <v/>
      </c>
    </row>
    <row r="32" spans="1:13">
      <c r="A32" s="9" t="s">
        <v>3</v>
      </c>
      <c r="B32" s="9" t="s">
        <v>12</v>
      </c>
      <c r="C32" s="11"/>
      <c r="D32" s="11"/>
      <c r="E32" s="12"/>
      <c r="F32" s="11"/>
      <c r="G32" s="11"/>
      <c r="H32" s="12"/>
      <c r="I32" s="11"/>
      <c r="J32" s="11"/>
      <c r="K32" s="12"/>
      <c r="L32" s="13" t="str">
        <f t="shared" si="2"/>
        <v/>
      </c>
      <c r="M32" s="11" t="str">
        <f t="shared" si="6"/>
        <v/>
      </c>
    </row>
    <row r="33" spans="1:13">
      <c r="A33" s="9" t="s">
        <v>3</v>
      </c>
      <c r="B33" s="9" t="s">
        <v>13</v>
      </c>
      <c r="C33" s="11"/>
      <c r="D33" s="11"/>
      <c r="E33" s="12"/>
      <c r="F33" s="11"/>
      <c r="G33" s="11"/>
      <c r="H33" s="12"/>
      <c r="I33" s="11"/>
      <c r="J33" s="11"/>
      <c r="K33" s="12"/>
      <c r="L33" s="13" t="str">
        <f t="shared" si="2"/>
        <v/>
      </c>
      <c r="M33" s="11" t="str">
        <f t="shared" si="6"/>
        <v/>
      </c>
    </row>
    <row r="34" spans="1:13">
      <c r="A34" s="9" t="s">
        <v>3</v>
      </c>
      <c r="B34" s="9" t="s">
        <v>14</v>
      </c>
      <c r="C34" s="11"/>
      <c r="D34" s="11"/>
      <c r="E34" s="12"/>
      <c r="F34" s="11"/>
      <c r="G34" s="11"/>
      <c r="H34" s="12"/>
      <c r="I34" s="11"/>
      <c r="J34" s="11"/>
      <c r="K34" s="12"/>
      <c r="L34" s="13" t="str">
        <f t="shared" si="2"/>
        <v/>
      </c>
      <c r="M34" s="11" t="str">
        <f t="shared" si="6"/>
        <v/>
      </c>
    </row>
    <row r="35" spans="1:13">
      <c r="A35" s="9" t="s">
        <v>3</v>
      </c>
      <c r="B35" s="9" t="s">
        <v>15</v>
      </c>
      <c r="C35" s="11"/>
      <c r="D35" s="11"/>
      <c r="E35" s="12"/>
      <c r="F35" s="11"/>
      <c r="G35" s="11"/>
      <c r="H35" s="12"/>
      <c r="I35" s="11"/>
      <c r="J35" s="11"/>
      <c r="K35" s="12"/>
      <c r="L35" s="13" t="str">
        <f t="shared" si="2"/>
        <v/>
      </c>
      <c r="M35" s="11" t="str">
        <f t="shared" si="6"/>
        <v/>
      </c>
    </row>
    <row r="36" spans="1:13">
      <c r="A36" s="9" t="s">
        <v>3</v>
      </c>
      <c r="B36" s="9" t="s">
        <v>16</v>
      </c>
      <c r="C36" s="11"/>
      <c r="D36" s="11"/>
      <c r="E36" s="12"/>
      <c r="F36" s="11"/>
      <c r="G36" s="11"/>
      <c r="H36" s="12"/>
      <c r="I36" s="11"/>
      <c r="J36" s="11"/>
      <c r="K36" s="12"/>
      <c r="L36" s="13" t="str">
        <f t="shared" si="2"/>
        <v/>
      </c>
      <c r="M36" s="11" t="str">
        <f t="shared" si="6"/>
        <v/>
      </c>
    </row>
    <row r="37" spans="1:13">
      <c r="A37" s="9" t="s">
        <v>3</v>
      </c>
      <c r="B37" s="9" t="s">
        <v>17</v>
      </c>
      <c r="C37" s="11"/>
      <c r="D37" s="11"/>
      <c r="E37" s="12"/>
      <c r="F37" s="11"/>
      <c r="G37" s="11"/>
      <c r="H37" s="12"/>
      <c r="I37" s="11"/>
      <c r="J37" s="11"/>
      <c r="K37" s="12"/>
      <c r="L37" s="13" t="str">
        <f t="shared" si="2"/>
        <v/>
      </c>
      <c r="M37" s="11" t="str">
        <f t="shared" si="6"/>
        <v/>
      </c>
    </row>
    <row r="38" spans="1:13">
      <c r="A38" s="9" t="s">
        <v>3</v>
      </c>
      <c r="B38" s="9" t="s">
        <v>18</v>
      </c>
      <c r="C38" s="11"/>
      <c r="D38" s="11"/>
      <c r="E38" s="12"/>
      <c r="F38" s="11"/>
      <c r="G38" s="11"/>
      <c r="H38" s="12"/>
      <c r="I38" s="11"/>
      <c r="J38" s="11"/>
      <c r="K38" s="12"/>
      <c r="L38" s="13" t="str">
        <f t="shared" si="2"/>
        <v/>
      </c>
      <c r="M38" s="11" t="str">
        <f t="shared" si="6"/>
        <v/>
      </c>
    </row>
    <row r="39" spans="1:13">
      <c r="A39" s="9" t="s">
        <v>4</v>
      </c>
      <c r="B39" s="9" t="s">
        <v>7</v>
      </c>
      <c r="C39" s="15"/>
      <c r="D39" s="15"/>
      <c r="E39" s="12"/>
      <c r="F39" s="11"/>
      <c r="G39" s="11"/>
      <c r="H39" s="12"/>
      <c r="I39" s="11"/>
      <c r="J39" s="11"/>
      <c r="K39" s="12"/>
      <c r="L39" s="13" t="str">
        <f t="shared" si="2"/>
        <v/>
      </c>
      <c r="M39" s="11" t="str">
        <f t="shared" si="6"/>
        <v/>
      </c>
    </row>
    <row r="40" spans="1:13">
      <c r="A40" s="9" t="s">
        <v>4</v>
      </c>
      <c r="B40" s="9" t="s">
        <v>8</v>
      </c>
      <c r="C40" s="11"/>
      <c r="D40" s="11"/>
      <c r="E40" s="12"/>
      <c r="F40" s="11"/>
      <c r="G40" s="11"/>
      <c r="H40" s="12"/>
      <c r="I40" s="11"/>
      <c r="J40" s="11"/>
      <c r="K40" s="12"/>
      <c r="L40" s="13" t="str">
        <f t="shared" si="2"/>
        <v/>
      </c>
      <c r="M40" s="11" t="str">
        <f t="shared" si="6"/>
        <v/>
      </c>
    </row>
    <row r="41" spans="1:13">
      <c r="A41" s="9" t="s">
        <v>4</v>
      </c>
      <c r="B41" s="9" t="s">
        <v>9</v>
      </c>
      <c r="C41" s="11"/>
      <c r="D41" s="11"/>
      <c r="E41" s="12"/>
      <c r="F41" s="11"/>
      <c r="G41" s="11"/>
      <c r="H41" s="12"/>
      <c r="I41" s="11"/>
      <c r="J41" s="11"/>
      <c r="K41" s="12"/>
      <c r="L41" s="13" t="str">
        <f t="shared" si="2"/>
        <v/>
      </c>
      <c r="M41" s="11" t="str">
        <f t="shared" si="6"/>
        <v/>
      </c>
    </row>
    <row r="42" spans="1:13">
      <c r="A42" s="9" t="s">
        <v>4</v>
      </c>
      <c r="B42" s="9" t="s">
        <v>10</v>
      </c>
      <c r="C42" s="11"/>
      <c r="D42" s="11"/>
      <c r="E42" s="12"/>
      <c r="F42" s="11"/>
      <c r="G42" s="11"/>
      <c r="H42" s="12"/>
      <c r="I42" s="11"/>
      <c r="J42" s="11"/>
      <c r="K42" s="12"/>
      <c r="L42" s="13" t="str">
        <f t="shared" si="2"/>
        <v/>
      </c>
      <c r="M42" s="11" t="str">
        <f t="shared" si="6"/>
        <v/>
      </c>
    </row>
    <row r="43" spans="1:13">
      <c r="A43" s="9" t="s">
        <v>4</v>
      </c>
      <c r="B43" s="9" t="s">
        <v>11</v>
      </c>
      <c r="C43" s="11"/>
      <c r="D43" s="11"/>
      <c r="E43" s="12"/>
      <c r="F43" s="11"/>
      <c r="G43" s="11"/>
      <c r="H43" s="12"/>
      <c r="I43" s="11"/>
      <c r="J43" s="11"/>
      <c r="K43" s="12"/>
      <c r="L43" s="13" t="str">
        <f t="shared" si="2"/>
        <v/>
      </c>
      <c r="M43" s="11" t="str">
        <f t="shared" si="6"/>
        <v/>
      </c>
    </row>
    <row r="44" spans="1:13">
      <c r="A44" s="9" t="s">
        <v>4</v>
      </c>
      <c r="B44" s="9" t="s">
        <v>12</v>
      </c>
      <c r="C44" s="11"/>
      <c r="D44" s="11"/>
      <c r="E44" s="12"/>
      <c r="F44" s="11"/>
      <c r="G44" s="11"/>
      <c r="H44" s="12"/>
      <c r="I44" s="11"/>
      <c r="J44" s="11"/>
      <c r="K44" s="12"/>
      <c r="L44" s="13" t="str">
        <f t="shared" si="2"/>
        <v/>
      </c>
      <c r="M44" s="11" t="str">
        <f t="shared" si="6"/>
        <v/>
      </c>
    </row>
    <row r="45" spans="1:13">
      <c r="A45" s="9" t="s">
        <v>4</v>
      </c>
      <c r="B45" s="9" t="s">
        <v>13</v>
      </c>
      <c r="C45" s="11"/>
      <c r="D45" s="11"/>
      <c r="E45" s="12"/>
      <c r="F45" s="11"/>
      <c r="G45" s="11"/>
      <c r="H45" s="12"/>
      <c r="I45" s="11"/>
      <c r="J45" s="11"/>
      <c r="K45" s="12"/>
      <c r="L45" s="13" t="str">
        <f t="shared" si="2"/>
        <v/>
      </c>
      <c r="M45" s="11" t="str">
        <f t="shared" si="6"/>
        <v/>
      </c>
    </row>
    <row r="46" spans="1:13">
      <c r="A46" s="9" t="s">
        <v>4</v>
      </c>
      <c r="B46" s="9" t="s">
        <v>14</v>
      </c>
      <c r="C46" s="11"/>
      <c r="D46" s="11"/>
      <c r="E46" s="12"/>
      <c r="F46" s="11"/>
      <c r="G46" s="11"/>
      <c r="H46" s="12"/>
      <c r="I46" s="11"/>
      <c r="J46" s="11"/>
      <c r="K46" s="12"/>
      <c r="L46" s="13" t="str">
        <f t="shared" si="2"/>
        <v/>
      </c>
      <c r="M46" s="11" t="str">
        <f t="shared" si="6"/>
        <v/>
      </c>
    </row>
    <row r="47" spans="1:13">
      <c r="A47" s="9" t="s">
        <v>4</v>
      </c>
      <c r="B47" s="9" t="s">
        <v>15</v>
      </c>
      <c r="C47" s="11"/>
      <c r="D47" s="11"/>
      <c r="E47" s="12"/>
      <c r="F47" s="11"/>
      <c r="G47" s="11"/>
      <c r="H47" s="12"/>
      <c r="I47" s="11"/>
      <c r="J47" s="11"/>
      <c r="K47" s="12"/>
      <c r="L47" s="13" t="str">
        <f t="shared" si="2"/>
        <v/>
      </c>
      <c r="M47" s="11" t="str">
        <f t="shared" si="6"/>
        <v/>
      </c>
    </row>
    <row r="48" spans="1:13">
      <c r="A48" s="9" t="s">
        <v>4</v>
      </c>
      <c r="B48" s="9" t="s">
        <v>16</v>
      </c>
      <c r="C48" s="11"/>
      <c r="D48" s="11"/>
      <c r="E48" s="12"/>
      <c r="F48" s="11"/>
      <c r="G48" s="11"/>
      <c r="H48" s="12"/>
      <c r="I48" s="11"/>
      <c r="J48" s="11"/>
      <c r="K48" s="12"/>
      <c r="L48" s="13" t="str">
        <f t="shared" si="2"/>
        <v/>
      </c>
      <c r="M48" s="11" t="str">
        <f t="shared" si="6"/>
        <v/>
      </c>
    </row>
    <row r="49" spans="1:13">
      <c r="A49" s="9" t="s">
        <v>4</v>
      </c>
      <c r="B49" s="9" t="s">
        <v>17</v>
      </c>
      <c r="C49" s="11"/>
      <c r="D49" s="11"/>
      <c r="E49" s="12"/>
      <c r="F49" s="11"/>
      <c r="G49" s="11"/>
      <c r="H49" s="12"/>
      <c r="I49" s="11"/>
      <c r="J49" s="11"/>
      <c r="K49" s="12"/>
      <c r="L49" s="13" t="str">
        <f t="shared" si="2"/>
        <v/>
      </c>
      <c r="M49" s="11" t="str">
        <f t="shared" si="6"/>
        <v/>
      </c>
    </row>
    <row r="50" spans="1:13">
      <c r="A50" s="9" t="s">
        <v>4</v>
      </c>
      <c r="B50" s="9" t="s">
        <v>18</v>
      </c>
      <c r="C50" s="11"/>
      <c r="D50" s="11"/>
      <c r="E50" s="12"/>
      <c r="F50" s="11"/>
      <c r="G50" s="11"/>
      <c r="H50" s="12"/>
      <c r="I50" s="11"/>
      <c r="J50" s="11"/>
      <c r="K50" s="12"/>
      <c r="L50" s="13" t="str">
        <f t="shared" si="2"/>
        <v/>
      </c>
      <c r="M50" s="11" t="str">
        <f>IF(L50="","",IF(L50&gt;100%,"Overload",IF(L50&gt;95%,"High Load",IF(L50&gt;=90%,"Balanced","Low Load"))))</f>
        <v/>
      </c>
    </row>
  </sheetData>
  <phoneticPr fontId="3" type="noConversion"/>
  <conditionalFormatting sqref="M3:M707">
    <cfRule type="expression" dxfId="9" priority="1">
      <formula>$M3="Low Load"</formula>
    </cfRule>
    <cfRule type="expression" dxfId="8" priority="2">
      <formula>$M3="Balanced"</formula>
    </cfRule>
    <cfRule type="expression" dxfId="7" priority="3">
      <formula>$M3="High Load"</formula>
    </cfRule>
    <cfRule type="expression" dxfId="6" priority="4">
      <formula>$M3="Overload"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FE6D61-EE10-43A8-AADB-BC76383CE52B}">
  <dimension ref="A1:N51"/>
  <sheetViews>
    <sheetView tabSelected="1" zoomScale="85" zoomScaleNormal="85" workbookViewId="0">
      <pane xSplit="2" ySplit="2" topLeftCell="C3" activePane="bottomRight" state="frozen"/>
      <selection pane="topRight" activeCell="C1" sqref="C1"/>
      <selection pane="bottomLeft" activeCell="A4" sqref="A4"/>
      <selection pane="bottomRight" activeCell="I15" sqref="I15"/>
    </sheetView>
  </sheetViews>
  <sheetFormatPr defaultRowHeight="16"/>
  <cols>
    <col min="1" max="2" width="8.7265625" style="19"/>
    <col min="3" max="6" width="10.1796875" style="19" customWidth="1"/>
    <col min="7" max="7" width="10.54296875" style="19" customWidth="1"/>
    <col min="8" max="8" width="10.1796875" style="19" customWidth="1"/>
    <col min="9" max="9" width="12.08984375" style="19" customWidth="1"/>
    <col min="10" max="12" width="10.1796875" style="19" customWidth="1"/>
    <col min="13" max="13" width="11.453125" style="30" customWidth="1"/>
    <col min="14" max="16384" width="8.7265625" style="19"/>
  </cols>
  <sheetData>
    <row r="1" spans="1:14">
      <c r="A1" s="18" t="s">
        <v>285</v>
      </c>
      <c r="D1" s="84"/>
      <c r="E1" s="84"/>
    </row>
    <row r="2" spans="1:14" s="33" customFormat="1" ht="52" customHeight="1">
      <c r="A2" s="31" t="s">
        <v>5</v>
      </c>
      <c r="B2" s="31" t="s">
        <v>6</v>
      </c>
      <c r="C2" s="31" t="s">
        <v>44</v>
      </c>
      <c r="D2" s="31" t="s">
        <v>277</v>
      </c>
      <c r="E2" s="31" t="s">
        <v>281</v>
      </c>
      <c r="F2" s="31" t="s">
        <v>278</v>
      </c>
      <c r="G2" s="31" t="s">
        <v>282</v>
      </c>
      <c r="H2" s="31" t="s">
        <v>279</v>
      </c>
      <c r="I2" s="31" t="s">
        <v>283</v>
      </c>
      <c r="J2" s="31" t="s">
        <v>280</v>
      </c>
      <c r="K2" s="31" t="s">
        <v>284</v>
      </c>
      <c r="L2" s="31" t="s">
        <v>298</v>
      </c>
      <c r="M2" s="32" t="s">
        <v>310</v>
      </c>
    </row>
    <row r="3" spans="1:14">
      <c r="A3" s="34" t="s">
        <v>2</v>
      </c>
      <c r="B3" s="35" t="s">
        <v>7</v>
      </c>
      <c r="C3" s="36" t="s">
        <v>21</v>
      </c>
      <c r="D3" s="37">
        <v>288</v>
      </c>
      <c r="E3" s="37">
        <v>6912</v>
      </c>
      <c r="F3" s="37"/>
      <c r="G3" s="37"/>
      <c r="H3" s="37">
        <v>86</v>
      </c>
      <c r="I3" s="37">
        <v>860</v>
      </c>
      <c r="J3" s="37">
        <v>25</v>
      </c>
      <c r="K3" s="37">
        <v>0</v>
      </c>
      <c r="L3" s="38">
        <f>(E3+G3+I3+K3)</f>
        <v>7772</v>
      </c>
      <c r="M3" s="76">
        <f>IF(L3="","",IFERROR(L3/SUMIFS($L:$L,$A:$A,A3,$B:$B,B3),""))</f>
        <v>7.6964973608896717E-2</v>
      </c>
      <c r="N3" s="82"/>
    </row>
    <row r="4" spans="1:14">
      <c r="A4" s="34" t="s">
        <v>2</v>
      </c>
      <c r="B4" s="35" t="s">
        <v>7</v>
      </c>
      <c r="C4" s="36" t="s">
        <v>20</v>
      </c>
      <c r="D4" s="37">
        <v>287</v>
      </c>
      <c r="E4" s="37">
        <v>4879</v>
      </c>
      <c r="F4" s="37"/>
      <c r="G4" s="37"/>
      <c r="H4" s="37">
        <v>380</v>
      </c>
      <c r="I4" s="37">
        <v>725</v>
      </c>
      <c r="J4" s="37">
        <v>2</v>
      </c>
      <c r="K4" s="37">
        <v>245</v>
      </c>
      <c r="L4" s="38">
        <f t="shared" ref="L4:L44" si="0">(E4+G4+I4+K4)</f>
        <v>5849</v>
      </c>
      <c r="M4" s="76">
        <f t="shared" ref="M4:M19" si="1">IF(L4="","",IFERROR(L4/SUMIFS($L:$L,$A:$A,A4,$B:$B,B4),""))</f>
        <v>5.7921787266911599E-2</v>
      </c>
    </row>
    <row r="5" spans="1:14">
      <c r="A5" s="34" t="s">
        <v>2</v>
      </c>
      <c r="B5" s="35" t="s">
        <v>7</v>
      </c>
      <c r="C5" s="36" t="s">
        <v>36</v>
      </c>
      <c r="D5" s="37">
        <v>226</v>
      </c>
      <c r="E5" s="37">
        <v>5876</v>
      </c>
      <c r="F5" s="37"/>
      <c r="G5" s="37"/>
      <c r="H5" s="37">
        <v>0</v>
      </c>
      <c r="I5" s="37">
        <v>900</v>
      </c>
      <c r="J5" s="37">
        <v>0</v>
      </c>
      <c r="K5" s="37">
        <v>0</v>
      </c>
      <c r="L5" s="38">
        <f t="shared" si="0"/>
        <v>6776</v>
      </c>
      <c r="M5" s="76">
        <f t="shared" si="1"/>
        <v>6.7101732008991791E-2</v>
      </c>
    </row>
    <row r="6" spans="1:14">
      <c r="A6" s="34" t="s">
        <v>2</v>
      </c>
      <c r="B6" s="35" t="s">
        <v>7</v>
      </c>
      <c r="C6" s="36" t="s">
        <v>37</v>
      </c>
      <c r="D6" s="37">
        <v>132</v>
      </c>
      <c r="E6" s="37">
        <v>2376</v>
      </c>
      <c r="F6" s="37"/>
      <c r="G6" s="37"/>
      <c r="H6" s="37">
        <v>1</v>
      </c>
      <c r="I6" s="37">
        <v>5</v>
      </c>
      <c r="J6" s="37">
        <v>51</v>
      </c>
      <c r="K6" s="37">
        <v>235</v>
      </c>
      <c r="L6" s="38">
        <f t="shared" si="0"/>
        <v>2616</v>
      </c>
      <c r="M6" s="76">
        <f t="shared" si="1"/>
        <v>2.5905863479268376E-2</v>
      </c>
    </row>
    <row r="7" spans="1:14">
      <c r="A7" s="34" t="s">
        <v>2</v>
      </c>
      <c r="B7" s="35" t="s">
        <v>7</v>
      </c>
      <c r="C7" s="39" t="s">
        <v>38</v>
      </c>
      <c r="D7" s="37">
        <v>1687</v>
      </c>
      <c r="E7" s="37">
        <v>28679</v>
      </c>
      <c r="F7" s="37">
        <v>66</v>
      </c>
      <c r="G7" s="37">
        <v>660</v>
      </c>
      <c r="H7" s="37">
        <v>1310</v>
      </c>
      <c r="I7" s="85">
        <v>0</v>
      </c>
      <c r="J7" s="37">
        <v>10</v>
      </c>
      <c r="K7" s="37">
        <v>120</v>
      </c>
      <c r="L7" s="38">
        <f t="shared" si="0"/>
        <v>29459</v>
      </c>
      <c r="M7" s="76">
        <f t="shared" si="1"/>
        <v>0.29172814687911586</v>
      </c>
      <c r="N7" s="98">
        <v>-5075</v>
      </c>
    </row>
    <row r="8" spans="1:14">
      <c r="A8" s="34" t="s">
        <v>2</v>
      </c>
      <c r="B8" s="35" t="s">
        <v>7</v>
      </c>
      <c r="C8" s="39" t="s">
        <v>39</v>
      </c>
      <c r="D8" s="37">
        <v>1496</v>
      </c>
      <c r="E8" s="37">
        <v>40392</v>
      </c>
      <c r="F8" s="37"/>
      <c r="G8" s="37"/>
      <c r="H8" s="37">
        <v>72</v>
      </c>
      <c r="I8" s="37">
        <v>3150</v>
      </c>
      <c r="J8" s="37">
        <v>65</v>
      </c>
      <c r="K8" s="37">
        <v>2835</v>
      </c>
      <c r="L8" s="38">
        <f t="shared" si="0"/>
        <v>46377</v>
      </c>
      <c r="M8" s="76">
        <f t="shared" si="1"/>
        <v>0.45926461413533237</v>
      </c>
    </row>
    <row r="9" spans="1:14">
      <c r="A9" s="34" t="s">
        <v>2</v>
      </c>
      <c r="B9" s="35" t="s">
        <v>7</v>
      </c>
      <c r="C9" s="39" t="s">
        <v>40</v>
      </c>
      <c r="D9" s="37">
        <v>164</v>
      </c>
      <c r="E9" s="37">
        <v>2132</v>
      </c>
      <c r="F9" s="37"/>
      <c r="G9" s="37"/>
      <c r="H9" s="37"/>
      <c r="I9" s="37"/>
      <c r="J9" s="37">
        <v>0</v>
      </c>
      <c r="K9" s="37">
        <v>0</v>
      </c>
      <c r="L9" s="38">
        <f t="shared" si="0"/>
        <v>2132</v>
      </c>
      <c r="M9" s="76">
        <f t="shared" si="1"/>
        <v>2.111288262148325E-2</v>
      </c>
    </row>
    <row r="10" spans="1:14">
      <c r="A10" s="34" t="s">
        <v>2</v>
      </c>
      <c r="B10" s="35" t="s">
        <v>8</v>
      </c>
      <c r="C10" s="36" t="s">
        <v>21</v>
      </c>
      <c r="D10" s="37">
        <v>271</v>
      </c>
      <c r="E10" s="37">
        <v>6504</v>
      </c>
      <c r="F10" s="37"/>
      <c r="G10" s="37"/>
      <c r="H10" s="37">
        <v>102</v>
      </c>
      <c r="I10" s="37">
        <v>1020</v>
      </c>
      <c r="J10" s="37">
        <v>23</v>
      </c>
      <c r="K10" s="37">
        <v>0</v>
      </c>
      <c r="L10" s="38">
        <f t="shared" si="0"/>
        <v>7524</v>
      </c>
      <c r="M10" s="76">
        <f t="shared" si="1"/>
        <v>7.5746745728926521E-2</v>
      </c>
    </row>
    <row r="11" spans="1:14">
      <c r="A11" s="34" t="s">
        <v>2</v>
      </c>
      <c r="B11" s="35" t="s">
        <v>8</v>
      </c>
      <c r="C11" s="36" t="s">
        <v>20</v>
      </c>
      <c r="D11" s="37">
        <v>211</v>
      </c>
      <c r="E11" s="37">
        <v>3587</v>
      </c>
      <c r="F11" s="37"/>
      <c r="G11" s="37"/>
      <c r="H11" s="37">
        <v>399</v>
      </c>
      <c r="I11" s="37">
        <v>835</v>
      </c>
      <c r="J11" s="37">
        <v>4</v>
      </c>
      <c r="K11" s="37">
        <v>310</v>
      </c>
      <c r="L11" s="38">
        <f t="shared" si="0"/>
        <v>4732</v>
      </c>
      <c r="M11" s="76">
        <f t="shared" si="1"/>
        <v>4.7638702922551873E-2</v>
      </c>
    </row>
    <row r="12" spans="1:14">
      <c r="A12" s="34" t="s">
        <v>2</v>
      </c>
      <c r="B12" s="35" t="s">
        <v>8</v>
      </c>
      <c r="C12" s="36" t="s">
        <v>36</v>
      </c>
      <c r="D12" s="37">
        <v>196</v>
      </c>
      <c r="E12" s="37">
        <v>5096</v>
      </c>
      <c r="F12" s="37"/>
      <c r="G12" s="37"/>
      <c r="H12" s="37">
        <v>0</v>
      </c>
      <c r="I12" s="37">
        <v>1920</v>
      </c>
      <c r="J12" s="37">
        <v>0</v>
      </c>
      <c r="K12" s="37">
        <v>0</v>
      </c>
      <c r="L12" s="38">
        <f t="shared" si="0"/>
        <v>7016</v>
      </c>
      <c r="M12" s="76">
        <f t="shared" si="1"/>
        <v>7.0632531636649176E-2</v>
      </c>
    </row>
    <row r="13" spans="1:14">
      <c r="A13" s="34" t="s">
        <v>2</v>
      </c>
      <c r="B13" s="35" t="s">
        <v>8</v>
      </c>
      <c r="C13" s="36" t="s">
        <v>37</v>
      </c>
      <c r="D13" s="37">
        <v>126</v>
      </c>
      <c r="E13" s="37">
        <v>2268</v>
      </c>
      <c r="F13" s="37"/>
      <c r="G13" s="37"/>
      <c r="H13" s="37">
        <v>3</v>
      </c>
      <c r="I13" s="37">
        <v>15</v>
      </c>
      <c r="J13" s="37">
        <v>53</v>
      </c>
      <c r="K13" s="37">
        <v>265</v>
      </c>
      <c r="L13" s="38">
        <f t="shared" si="0"/>
        <v>2548</v>
      </c>
      <c r="M13" s="76">
        <f t="shared" si="1"/>
        <v>2.5651609265989469E-2</v>
      </c>
    </row>
    <row r="14" spans="1:14">
      <c r="A14" s="34" t="s">
        <v>2</v>
      </c>
      <c r="B14" s="35" t="s">
        <v>8</v>
      </c>
      <c r="C14" s="39" t="s">
        <v>38</v>
      </c>
      <c r="D14" s="37">
        <v>1795</v>
      </c>
      <c r="E14" s="37">
        <v>30515</v>
      </c>
      <c r="F14" s="37">
        <v>51</v>
      </c>
      <c r="G14" s="37">
        <v>510</v>
      </c>
      <c r="H14" s="37">
        <v>1351</v>
      </c>
      <c r="I14" s="85">
        <v>0</v>
      </c>
      <c r="J14" s="37">
        <v>12</v>
      </c>
      <c r="K14" s="37">
        <v>160</v>
      </c>
      <c r="L14" s="38">
        <f t="shared" si="0"/>
        <v>31185</v>
      </c>
      <c r="M14" s="76">
        <f t="shared" si="1"/>
        <v>0.31395032769226122</v>
      </c>
      <c r="N14" s="98">
        <v>-5240</v>
      </c>
    </row>
    <row r="15" spans="1:14">
      <c r="A15" s="34" t="s">
        <v>2</v>
      </c>
      <c r="B15" s="35" t="s">
        <v>8</v>
      </c>
      <c r="C15" s="39" t="s">
        <v>39</v>
      </c>
      <c r="D15" s="37">
        <v>1406</v>
      </c>
      <c r="E15" s="37">
        <v>37986</v>
      </c>
      <c r="F15" s="37"/>
      <c r="G15" s="37"/>
      <c r="H15" s="37">
        <v>86</v>
      </c>
      <c r="I15" s="37">
        <v>3230</v>
      </c>
      <c r="J15" s="37">
        <v>72</v>
      </c>
      <c r="K15" s="37">
        <v>2835</v>
      </c>
      <c r="L15" s="38">
        <f t="shared" si="0"/>
        <v>44051</v>
      </c>
      <c r="M15" s="76">
        <f t="shared" si="1"/>
        <v>0.44347686019470256</v>
      </c>
    </row>
    <row r="16" spans="1:14">
      <c r="A16" s="34" t="s">
        <v>2</v>
      </c>
      <c r="B16" s="35" t="s">
        <v>8</v>
      </c>
      <c r="C16" s="39" t="s">
        <v>40</v>
      </c>
      <c r="D16" s="37">
        <v>175</v>
      </c>
      <c r="E16" s="37">
        <v>2275</v>
      </c>
      <c r="F16" s="37"/>
      <c r="G16" s="37"/>
      <c r="H16" s="37"/>
      <c r="I16" s="37"/>
      <c r="J16" s="37">
        <v>0</v>
      </c>
      <c r="K16" s="37">
        <v>0</v>
      </c>
      <c r="L16" s="38">
        <f t="shared" si="0"/>
        <v>2275</v>
      </c>
      <c r="M16" s="76">
        <f t="shared" si="1"/>
        <v>2.2903222558919169E-2</v>
      </c>
    </row>
    <row r="17" spans="1:13">
      <c r="A17" s="34" t="s">
        <v>1</v>
      </c>
      <c r="B17" s="34" t="s">
        <v>7</v>
      </c>
      <c r="C17" s="77" t="s">
        <v>21</v>
      </c>
      <c r="D17" s="78"/>
      <c r="E17" s="78"/>
      <c r="F17" s="78"/>
      <c r="G17" s="78"/>
      <c r="H17" s="78"/>
      <c r="I17" s="78"/>
      <c r="J17" s="78"/>
      <c r="K17" s="78"/>
      <c r="L17" s="79">
        <f t="shared" si="0"/>
        <v>0</v>
      </c>
      <c r="M17" s="80" t="str">
        <f t="shared" si="1"/>
        <v/>
      </c>
    </row>
    <row r="18" spans="1:13">
      <c r="A18" s="34" t="s">
        <v>1</v>
      </c>
      <c r="B18" s="34" t="s">
        <v>7</v>
      </c>
      <c r="C18" s="77" t="s">
        <v>20</v>
      </c>
      <c r="D18" s="78"/>
      <c r="E18" s="78"/>
      <c r="F18" s="78"/>
      <c r="G18" s="78"/>
      <c r="H18" s="78"/>
      <c r="I18" s="78"/>
      <c r="J18" s="78"/>
      <c r="K18" s="78"/>
      <c r="L18" s="79">
        <f t="shared" si="0"/>
        <v>0</v>
      </c>
      <c r="M18" s="80" t="str">
        <f t="shared" si="1"/>
        <v/>
      </c>
    </row>
    <row r="19" spans="1:13">
      <c r="A19" s="34" t="s">
        <v>1</v>
      </c>
      <c r="B19" s="34" t="s">
        <v>7</v>
      </c>
      <c r="C19" s="77" t="s">
        <v>36</v>
      </c>
      <c r="D19" s="78"/>
      <c r="E19" s="78"/>
      <c r="F19" s="78"/>
      <c r="G19" s="78"/>
      <c r="H19" s="78"/>
      <c r="I19" s="78"/>
      <c r="J19" s="78"/>
      <c r="K19" s="78"/>
      <c r="L19" s="79">
        <f t="shared" si="0"/>
        <v>0</v>
      </c>
      <c r="M19" s="80" t="str">
        <f t="shared" si="1"/>
        <v/>
      </c>
    </row>
    <row r="20" spans="1:13">
      <c r="A20" s="34" t="s">
        <v>1</v>
      </c>
      <c r="B20" s="34" t="s">
        <v>7</v>
      </c>
      <c r="C20" s="77" t="s">
        <v>37</v>
      </c>
      <c r="D20" s="78"/>
      <c r="E20" s="78"/>
      <c r="F20" s="78"/>
      <c r="G20" s="78"/>
      <c r="H20" s="78"/>
      <c r="I20" s="78"/>
      <c r="J20" s="78"/>
      <c r="K20" s="78"/>
      <c r="L20" s="79">
        <f t="shared" si="0"/>
        <v>0</v>
      </c>
      <c r="M20" s="80" t="str">
        <f t="shared" ref="M20:M44" si="2">IF(L20="","",IFERROR(L20/SUMIFS($L:$L,$A:$A,A20,$B:$B,B20),""))</f>
        <v/>
      </c>
    </row>
    <row r="21" spans="1:13">
      <c r="A21" s="34" t="s">
        <v>1</v>
      </c>
      <c r="B21" s="34" t="s">
        <v>7</v>
      </c>
      <c r="C21" s="78" t="s">
        <v>38</v>
      </c>
      <c r="D21" s="78"/>
      <c r="E21" s="78"/>
      <c r="F21" s="78"/>
      <c r="G21" s="78"/>
      <c r="H21" s="78"/>
      <c r="I21" s="78"/>
      <c r="J21" s="78"/>
      <c r="K21" s="78"/>
      <c r="L21" s="79">
        <f t="shared" si="0"/>
        <v>0</v>
      </c>
      <c r="M21" s="80" t="str">
        <f t="shared" si="2"/>
        <v/>
      </c>
    </row>
    <row r="22" spans="1:13">
      <c r="A22" s="34" t="s">
        <v>1</v>
      </c>
      <c r="B22" s="34" t="s">
        <v>7</v>
      </c>
      <c r="C22" s="78" t="s">
        <v>39</v>
      </c>
      <c r="D22" s="78"/>
      <c r="E22" s="78"/>
      <c r="F22" s="78"/>
      <c r="G22" s="78"/>
      <c r="H22" s="78"/>
      <c r="I22" s="78"/>
      <c r="J22" s="78"/>
      <c r="K22" s="78"/>
      <c r="L22" s="79">
        <f t="shared" si="0"/>
        <v>0</v>
      </c>
      <c r="M22" s="80" t="str">
        <f t="shared" si="2"/>
        <v/>
      </c>
    </row>
    <row r="23" spans="1:13">
      <c r="A23" s="34" t="s">
        <v>1</v>
      </c>
      <c r="B23" s="34" t="s">
        <v>7</v>
      </c>
      <c r="C23" s="78" t="s">
        <v>40</v>
      </c>
      <c r="D23" s="78"/>
      <c r="E23" s="78"/>
      <c r="F23" s="78"/>
      <c r="G23" s="78"/>
      <c r="H23" s="78"/>
      <c r="I23" s="78"/>
      <c r="J23" s="78"/>
      <c r="K23" s="78"/>
      <c r="L23" s="79">
        <f t="shared" si="0"/>
        <v>0</v>
      </c>
      <c r="M23" s="80" t="str">
        <f t="shared" si="2"/>
        <v/>
      </c>
    </row>
    <row r="24" spans="1:13">
      <c r="A24" s="34" t="s">
        <v>1</v>
      </c>
      <c r="B24" s="35" t="s">
        <v>8</v>
      </c>
      <c r="C24" s="40" t="s">
        <v>21</v>
      </c>
      <c r="D24" s="37"/>
      <c r="E24" s="37"/>
      <c r="F24" s="37"/>
      <c r="G24" s="37"/>
      <c r="H24" s="37"/>
      <c r="I24" s="37"/>
      <c r="J24" s="37"/>
      <c r="K24" s="37"/>
      <c r="L24" s="38">
        <f t="shared" si="0"/>
        <v>0</v>
      </c>
      <c r="M24" s="76" t="str">
        <f t="shared" si="2"/>
        <v/>
      </c>
    </row>
    <row r="25" spans="1:13">
      <c r="A25" s="34" t="s">
        <v>1</v>
      </c>
      <c r="B25" s="35" t="s">
        <v>8</v>
      </c>
      <c r="C25" s="40" t="s">
        <v>20</v>
      </c>
      <c r="D25" s="37"/>
      <c r="E25" s="37"/>
      <c r="F25" s="37"/>
      <c r="G25" s="37"/>
      <c r="H25" s="37"/>
      <c r="I25" s="37"/>
      <c r="J25" s="37"/>
      <c r="K25" s="37"/>
      <c r="L25" s="38">
        <f t="shared" si="0"/>
        <v>0</v>
      </c>
      <c r="M25" s="76" t="str">
        <f t="shared" si="2"/>
        <v/>
      </c>
    </row>
    <row r="26" spans="1:13">
      <c r="A26" s="34" t="s">
        <v>1</v>
      </c>
      <c r="B26" s="35" t="s">
        <v>8</v>
      </c>
      <c r="C26" s="40" t="s">
        <v>36</v>
      </c>
      <c r="D26" s="37"/>
      <c r="E26" s="37"/>
      <c r="F26" s="37"/>
      <c r="G26" s="37"/>
      <c r="H26" s="37"/>
      <c r="I26" s="37"/>
      <c r="J26" s="37"/>
      <c r="K26" s="37"/>
      <c r="L26" s="38">
        <f t="shared" si="0"/>
        <v>0</v>
      </c>
      <c r="M26" s="76" t="str">
        <f t="shared" si="2"/>
        <v/>
      </c>
    </row>
    <row r="27" spans="1:13">
      <c r="A27" s="34" t="s">
        <v>1</v>
      </c>
      <c r="B27" s="35" t="s">
        <v>8</v>
      </c>
      <c r="C27" s="40" t="s">
        <v>37</v>
      </c>
      <c r="D27" s="37"/>
      <c r="E27" s="37"/>
      <c r="F27" s="37"/>
      <c r="G27" s="37"/>
      <c r="H27" s="37"/>
      <c r="I27" s="37"/>
      <c r="J27" s="37"/>
      <c r="K27" s="37"/>
      <c r="L27" s="38">
        <f t="shared" si="0"/>
        <v>0</v>
      </c>
      <c r="M27" s="76" t="str">
        <f t="shared" si="2"/>
        <v/>
      </c>
    </row>
    <row r="28" spans="1:13">
      <c r="A28" s="34" t="s">
        <v>1</v>
      </c>
      <c r="B28" s="35" t="s">
        <v>8</v>
      </c>
      <c r="C28" s="41" t="s">
        <v>38</v>
      </c>
      <c r="D28" s="37"/>
      <c r="E28" s="37"/>
      <c r="F28" s="37"/>
      <c r="G28" s="37"/>
      <c r="H28" s="37"/>
      <c r="I28" s="37"/>
      <c r="J28" s="37"/>
      <c r="K28" s="37"/>
      <c r="L28" s="38">
        <f t="shared" si="0"/>
        <v>0</v>
      </c>
      <c r="M28" s="76" t="str">
        <f t="shared" si="2"/>
        <v/>
      </c>
    </row>
    <row r="29" spans="1:13">
      <c r="A29" s="34" t="s">
        <v>1</v>
      </c>
      <c r="B29" s="35" t="s">
        <v>8</v>
      </c>
      <c r="C29" s="41" t="s">
        <v>39</v>
      </c>
      <c r="D29" s="37"/>
      <c r="E29" s="37"/>
      <c r="F29" s="37"/>
      <c r="G29" s="37"/>
      <c r="H29" s="37"/>
      <c r="I29" s="37"/>
      <c r="J29" s="37"/>
      <c r="K29" s="37"/>
      <c r="L29" s="38">
        <f t="shared" si="0"/>
        <v>0</v>
      </c>
      <c r="M29" s="76" t="str">
        <f t="shared" si="2"/>
        <v/>
      </c>
    </row>
    <row r="30" spans="1:13">
      <c r="A30" s="34" t="s">
        <v>1</v>
      </c>
      <c r="B30" s="35" t="s">
        <v>8</v>
      </c>
      <c r="C30" s="41" t="s">
        <v>40</v>
      </c>
      <c r="D30" s="37"/>
      <c r="E30" s="37"/>
      <c r="F30" s="37"/>
      <c r="G30" s="37"/>
      <c r="H30" s="37"/>
      <c r="I30" s="37"/>
      <c r="J30" s="37"/>
      <c r="K30" s="37"/>
      <c r="L30" s="38">
        <f t="shared" si="0"/>
        <v>0</v>
      </c>
      <c r="M30" s="76" t="str">
        <f t="shared" si="2"/>
        <v/>
      </c>
    </row>
    <row r="31" spans="1:13">
      <c r="A31" s="34" t="s">
        <v>3</v>
      </c>
      <c r="B31" s="35" t="s">
        <v>7</v>
      </c>
      <c r="C31" s="40" t="s">
        <v>21</v>
      </c>
      <c r="D31" s="37"/>
      <c r="E31" s="37"/>
      <c r="F31" s="37"/>
      <c r="G31" s="37"/>
      <c r="H31" s="37"/>
      <c r="I31" s="37"/>
      <c r="J31" s="37"/>
      <c r="K31" s="37"/>
      <c r="L31" s="38">
        <f t="shared" si="0"/>
        <v>0</v>
      </c>
      <c r="M31" s="76" t="str">
        <f t="shared" si="2"/>
        <v/>
      </c>
    </row>
    <row r="32" spans="1:13">
      <c r="A32" s="34" t="s">
        <v>3</v>
      </c>
      <c r="B32" s="35" t="s">
        <v>7</v>
      </c>
      <c r="C32" s="40" t="s">
        <v>20</v>
      </c>
      <c r="D32" s="37"/>
      <c r="E32" s="37"/>
      <c r="F32" s="37"/>
      <c r="G32" s="37"/>
      <c r="H32" s="37"/>
      <c r="I32" s="37"/>
      <c r="J32" s="37"/>
      <c r="K32" s="37"/>
      <c r="L32" s="38">
        <f t="shared" si="0"/>
        <v>0</v>
      </c>
      <c r="M32" s="76" t="str">
        <f t="shared" si="2"/>
        <v/>
      </c>
    </row>
    <row r="33" spans="1:13">
      <c r="A33" s="34" t="s">
        <v>3</v>
      </c>
      <c r="B33" s="35" t="s">
        <v>7</v>
      </c>
      <c r="C33" s="40" t="s">
        <v>36</v>
      </c>
      <c r="D33" s="37"/>
      <c r="E33" s="37"/>
      <c r="F33" s="37"/>
      <c r="G33" s="37"/>
      <c r="H33" s="37"/>
      <c r="I33" s="37"/>
      <c r="J33" s="37"/>
      <c r="K33" s="37"/>
      <c r="L33" s="38">
        <f t="shared" si="0"/>
        <v>0</v>
      </c>
      <c r="M33" s="76" t="str">
        <f t="shared" si="2"/>
        <v/>
      </c>
    </row>
    <row r="34" spans="1:13">
      <c r="A34" s="34" t="s">
        <v>3</v>
      </c>
      <c r="B34" s="35" t="s">
        <v>7</v>
      </c>
      <c r="C34" s="40" t="s">
        <v>37</v>
      </c>
      <c r="D34" s="37"/>
      <c r="E34" s="37"/>
      <c r="F34" s="37"/>
      <c r="G34" s="37"/>
      <c r="H34" s="37"/>
      <c r="I34" s="37"/>
      <c r="J34" s="37"/>
      <c r="K34" s="37"/>
      <c r="L34" s="38">
        <f t="shared" si="0"/>
        <v>0</v>
      </c>
      <c r="M34" s="76" t="str">
        <f t="shared" si="2"/>
        <v/>
      </c>
    </row>
    <row r="35" spans="1:13">
      <c r="A35" s="34" t="s">
        <v>3</v>
      </c>
      <c r="B35" s="35" t="s">
        <v>7</v>
      </c>
      <c r="C35" s="41" t="s">
        <v>38</v>
      </c>
      <c r="D35" s="37"/>
      <c r="E35" s="37"/>
      <c r="F35" s="37"/>
      <c r="G35" s="37"/>
      <c r="H35" s="37"/>
      <c r="I35" s="37"/>
      <c r="J35" s="37"/>
      <c r="K35" s="37"/>
      <c r="L35" s="38">
        <f t="shared" si="0"/>
        <v>0</v>
      </c>
      <c r="M35" s="76" t="str">
        <f t="shared" si="2"/>
        <v/>
      </c>
    </row>
    <row r="36" spans="1:13">
      <c r="A36" s="34" t="s">
        <v>3</v>
      </c>
      <c r="B36" s="35" t="s">
        <v>7</v>
      </c>
      <c r="C36" s="41" t="s">
        <v>39</v>
      </c>
      <c r="D36" s="37"/>
      <c r="E36" s="37"/>
      <c r="F36" s="37"/>
      <c r="G36" s="37"/>
      <c r="H36" s="37"/>
      <c r="I36" s="37"/>
      <c r="J36" s="37"/>
      <c r="K36" s="37"/>
      <c r="L36" s="38">
        <f t="shared" si="0"/>
        <v>0</v>
      </c>
      <c r="M36" s="76" t="str">
        <f t="shared" si="2"/>
        <v/>
      </c>
    </row>
    <row r="37" spans="1:13">
      <c r="A37" s="34" t="s">
        <v>3</v>
      </c>
      <c r="B37" s="35" t="s">
        <v>7</v>
      </c>
      <c r="C37" s="41" t="s">
        <v>40</v>
      </c>
      <c r="D37" s="37"/>
      <c r="E37" s="37"/>
      <c r="F37" s="37"/>
      <c r="G37" s="37"/>
      <c r="H37" s="37"/>
      <c r="I37" s="37"/>
      <c r="J37" s="37"/>
      <c r="K37" s="37"/>
      <c r="L37" s="38">
        <f t="shared" si="0"/>
        <v>0</v>
      </c>
      <c r="M37" s="76" t="str">
        <f t="shared" si="2"/>
        <v/>
      </c>
    </row>
    <row r="38" spans="1:13">
      <c r="A38" s="34" t="s">
        <v>3</v>
      </c>
      <c r="B38" s="35" t="s">
        <v>8</v>
      </c>
      <c r="C38" s="41" t="s">
        <v>21</v>
      </c>
      <c r="D38" s="37"/>
      <c r="E38" s="37"/>
      <c r="F38" s="37"/>
      <c r="G38" s="37"/>
      <c r="H38" s="37"/>
      <c r="I38" s="37"/>
      <c r="J38" s="37"/>
      <c r="K38" s="37"/>
      <c r="L38" s="38">
        <f t="shared" si="0"/>
        <v>0</v>
      </c>
      <c r="M38" s="76" t="str">
        <f t="shared" si="2"/>
        <v/>
      </c>
    </row>
    <row r="39" spans="1:13">
      <c r="A39" s="34" t="s">
        <v>3</v>
      </c>
      <c r="B39" s="35" t="s">
        <v>8</v>
      </c>
      <c r="C39" s="41" t="s">
        <v>20</v>
      </c>
      <c r="D39" s="37"/>
      <c r="E39" s="37"/>
      <c r="F39" s="37"/>
      <c r="G39" s="37"/>
      <c r="H39" s="37"/>
      <c r="I39" s="37"/>
      <c r="J39" s="37"/>
      <c r="K39" s="37"/>
      <c r="L39" s="38">
        <f t="shared" si="0"/>
        <v>0</v>
      </c>
      <c r="M39" s="76" t="str">
        <f t="shared" si="2"/>
        <v/>
      </c>
    </row>
    <row r="40" spans="1:13">
      <c r="A40" s="34" t="s">
        <v>3</v>
      </c>
      <c r="B40" s="35" t="s">
        <v>8</v>
      </c>
      <c r="C40" s="41" t="s">
        <v>36</v>
      </c>
      <c r="D40" s="37"/>
      <c r="E40" s="37"/>
      <c r="F40" s="37"/>
      <c r="G40" s="37"/>
      <c r="H40" s="37"/>
      <c r="I40" s="37"/>
      <c r="J40" s="37"/>
      <c r="K40" s="37"/>
      <c r="L40" s="38">
        <f t="shared" si="0"/>
        <v>0</v>
      </c>
      <c r="M40" s="76" t="str">
        <f t="shared" si="2"/>
        <v/>
      </c>
    </row>
    <row r="41" spans="1:13">
      <c r="A41" s="34" t="s">
        <v>3</v>
      </c>
      <c r="B41" s="35" t="s">
        <v>8</v>
      </c>
      <c r="C41" s="41" t="s">
        <v>37</v>
      </c>
      <c r="D41" s="37"/>
      <c r="E41" s="37"/>
      <c r="F41" s="37"/>
      <c r="G41" s="37"/>
      <c r="H41" s="37"/>
      <c r="I41" s="37"/>
      <c r="J41" s="37"/>
      <c r="K41" s="37"/>
      <c r="L41" s="38">
        <f t="shared" si="0"/>
        <v>0</v>
      </c>
      <c r="M41" s="76" t="str">
        <f t="shared" si="2"/>
        <v/>
      </c>
    </row>
    <row r="42" spans="1:13">
      <c r="A42" s="34" t="s">
        <v>3</v>
      </c>
      <c r="B42" s="35" t="s">
        <v>8</v>
      </c>
      <c r="C42" s="41" t="s">
        <v>38</v>
      </c>
      <c r="D42" s="37"/>
      <c r="E42" s="37"/>
      <c r="F42" s="37"/>
      <c r="G42" s="37"/>
      <c r="H42" s="37"/>
      <c r="I42" s="37"/>
      <c r="J42" s="37"/>
      <c r="K42" s="37"/>
      <c r="L42" s="38">
        <f t="shared" si="0"/>
        <v>0</v>
      </c>
      <c r="M42" s="76" t="str">
        <f t="shared" si="2"/>
        <v/>
      </c>
    </row>
    <row r="43" spans="1:13">
      <c r="A43" s="34" t="s">
        <v>3</v>
      </c>
      <c r="B43" s="35" t="s">
        <v>8</v>
      </c>
      <c r="C43" s="41" t="s">
        <v>39</v>
      </c>
      <c r="D43" s="37"/>
      <c r="E43" s="37"/>
      <c r="F43" s="37"/>
      <c r="G43" s="37"/>
      <c r="H43" s="37"/>
      <c r="I43" s="37"/>
      <c r="J43" s="37"/>
      <c r="K43" s="37"/>
      <c r="L43" s="38">
        <f t="shared" si="0"/>
        <v>0</v>
      </c>
      <c r="M43" s="76" t="str">
        <f t="shared" si="2"/>
        <v/>
      </c>
    </row>
    <row r="44" spans="1:13">
      <c r="A44" s="34" t="s">
        <v>3</v>
      </c>
      <c r="B44" s="35" t="s">
        <v>8</v>
      </c>
      <c r="C44" s="41" t="s">
        <v>40</v>
      </c>
      <c r="D44" s="37"/>
      <c r="E44" s="37"/>
      <c r="F44" s="37"/>
      <c r="G44" s="37"/>
      <c r="H44" s="37"/>
      <c r="I44" s="37"/>
      <c r="J44" s="37"/>
      <c r="K44" s="37"/>
      <c r="L44" s="38">
        <f t="shared" si="0"/>
        <v>0</v>
      </c>
      <c r="M44" s="76" t="str">
        <f t="shared" si="2"/>
        <v/>
      </c>
    </row>
    <row r="45" spans="1:13">
      <c r="D45" s="21"/>
      <c r="E45" s="21"/>
      <c r="F45" s="21"/>
      <c r="G45" s="21"/>
      <c r="H45" s="21"/>
      <c r="I45" s="21"/>
      <c r="J45" s="21"/>
      <c r="K45" s="21"/>
    </row>
    <row r="46" spans="1:13">
      <c r="D46" s="21"/>
      <c r="E46" s="21"/>
      <c r="F46" s="21"/>
      <c r="G46" s="21"/>
      <c r="H46" s="21"/>
      <c r="I46" s="21"/>
      <c r="J46" s="21"/>
      <c r="K46" s="21"/>
    </row>
    <row r="47" spans="1:13">
      <c r="D47" s="21"/>
      <c r="E47" s="21"/>
      <c r="F47" s="21"/>
      <c r="G47" s="21"/>
      <c r="H47" s="21"/>
      <c r="I47" s="21"/>
      <c r="J47" s="21"/>
      <c r="K47" s="21"/>
    </row>
    <row r="48" spans="1:13">
      <c r="D48" s="21"/>
      <c r="E48" s="21"/>
      <c r="F48" s="21"/>
      <c r="G48" s="21"/>
      <c r="H48" s="21"/>
      <c r="I48" s="21"/>
      <c r="J48" s="21"/>
      <c r="K48" s="21"/>
    </row>
    <row r="49" spans="4:11">
      <c r="D49" s="21"/>
      <c r="E49" s="21"/>
      <c r="F49" s="21"/>
      <c r="G49" s="21"/>
      <c r="H49" s="21"/>
      <c r="I49" s="21"/>
      <c r="J49" s="21"/>
      <c r="K49" s="21"/>
    </row>
    <row r="50" spans="4:11">
      <c r="D50" s="21"/>
      <c r="E50" s="21"/>
      <c r="F50" s="21"/>
      <c r="G50" s="21"/>
      <c r="H50" s="21"/>
      <c r="I50" s="21"/>
      <c r="J50" s="21"/>
      <c r="K50" s="21"/>
    </row>
    <row r="51" spans="4:11">
      <c r="D51" s="21"/>
      <c r="E51" s="21"/>
      <c r="F51" s="21"/>
      <c r="G51" s="21"/>
      <c r="H51" s="21"/>
      <c r="I51" s="21"/>
      <c r="J51" s="21"/>
      <c r="K51" s="21"/>
    </row>
  </sheetData>
  <mergeCells count="1">
    <mergeCell ref="D1:E1"/>
  </mergeCells>
  <phoneticPr fontId="3" type="noConversion"/>
  <conditionalFormatting sqref="C1:C1048576">
    <cfRule type="duplicateValues" dxfId="5" priority="1"/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94AF40-C5AA-46D6-8078-073E3F193A58}">
  <dimension ref="A1:T50"/>
  <sheetViews>
    <sheetView zoomScale="85" zoomScaleNormal="85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T3" sqref="T3:T4"/>
    </sheetView>
  </sheetViews>
  <sheetFormatPr defaultRowHeight="16"/>
  <cols>
    <col min="1" max="2" width="10.54296875" style="19" customWidth="1"/>
    <col min="3" max="3" width="10.54296875" style="20" customWidth="1"/>
    <col min="4" max="19" width="7" style="21" customWidth="1"/>
    <col min="20" max="20" width="9.7265625" style="21" bestFit="1" customWidth="1"/>
    <col min="21" max="16384" width="8.7265625" style="19"/>
  </cols>
  <sheetData>
    <row r="1" spans="1:20">
      <c r="A1" s="18" t="s">
        <v>300</v>
      </c>
    </row>
    <row r="2" spans="1:20" ht="31.5" customHeight="1">
      <c r="A2" s="6" t="s">
        <v>5</v>
      </c>
      <c r="B2" s="6" t="s">
        <v>6</v>
      </c>
      <c r="C2" s="22" t="s">
        <v>297</v>
      </c>
      <c r="D2" s="23" t="s">
        <v>20</v>
      </c>
      <c r="E2" s="23" t="s">
        <v>21</v>
      </c>
      <c r="F2" s="23" t="s">
        <v>22</v>
      </c>
      <c r="G2" s="23" t="s">
        <v>23</v>
      </c>
      <c r="H2" s="23" t="s">
        <v>24</v>
      </c>
      <c r="I2" s="23" t="s">
        <v>25</v>
      </c>
      <c r="J2" s="23" t="s">
        <v>26</v>
      </c>
      <c r="K2" s="23" t="s">
        <v>27</v>
      </c>
      <c r="L2" s="23" t="s">
        <v>28</v>
      </c>
      <c r="M2" s="23" t="s">
        <v>29</v>
      </c>
      <c r="N2" s="23" t="s">
        <v>30</v>
      </c>
      <c r="O2" s="23" t="s">
        <v>31</v>
      </c>
      <c r="P2" s="23" t="s">
        <v>32</v>
      </c>
      <c r="Q2" s="23" t="s">
        <v>33</v>
      </c>
      <c r="R2" s="23" t="s">
        <v>34</v>
      </c>
      <c r="S2" s="23" t="s">
        <v>35</v>
      </c>
      <c r="T2" s="23" t="s">
        <v>41</v>
      </c>
    </row>
    <row r="3" spans="1:20">
      <c r="A3" s="9" t="s">
        <v>2</v>
      </c>
      <c r="B3" s="9" t="s">
        <v>7</v>
      </c>
      <c r="C3" s="24">
        <v>68</v>
      </c>
      <c r="D3" s="25">
        <v>670</v>
      </c>
      <c r="E3" s="25">
        <v>364</v>
      </c>
      <c r="F3" s="25">
        <v>130</v>
      </c>
      <c r="G3" s="25">
        <v>171</v>
      </c>
      <c r="H3" s="25">
        <v>287</v>
      </c>
      <c r="I3" s="25">
        <v>186</v>
      </c>
      <c r="J3" s="25">
        <v>256</v>
      </c>
      <c r="K3" s="25">
        <v>237</v>
      </c>
      <c r="L3" s="25">
        <v>25</v>
      </c>
      <c r="M3" s="25">
        <v>2</v>
      </c>
      <c r="N3" s="25">
        <v>14</v>
      </c>
      <c r="O3" s="25">
        <v>0</v>
      </c>
      <c r="P3" s="25">
        <v>0</v>
      </c>
      <c r="Q3" s="25">
        <v>0</v>
      </c>
      <c r="R3" s="25">
        <v>0</v>
      </c>
      <c r="S3" s="25">
        <v>0</v>
      </c>
      <c r="T3" s="26">
        <f>IF(COUNT(D3:S3)=0,"",SUM(D3:S3))</f>
        <v>2342</v>
      </c>
    </row>
    <row r="4" spans="1:20">
      <c r="A4" s="9" t="s">
        <v>2</v>
      </c>
      <c r="B4" s="9" t="s">
        <v>8</v>
      </c>
      <c r="C4" s="24">
        <v>75</v>
      </c>
      <c r="D4" s="25">
        <v>658</v>
      </c>
      <c r="E4" s="25">
        <v>366</v>
      </c>
      <c r="F4" s="25">
        <v>121</v>
      </c>
      <c r="G4" s="25">
        <v>172</v>
      </c>
      <c r="H4" s="25">
        <v>296</v>
      </c>
      <c r="I4" s="25">
        <v>182</v>
      </c>
      <c r="J4" s="25">
        <v>341</v>
      </c>
      <c r="K4" s="25">
        <v>248</v>
      </c>
      <c r="L4" s="25">
        <v>14</v>
      </c>
      <c r="M4" s="25">
        <v>3</v>
      </c>
      <c r="N4" s="25">
        <v>12</v>
      </c>
      <c r="O4" s="25">
        <v>0</v>
      </c>
      <c r="P4" s="25">
        <v>0</v>
      </c>
      <c r="Q4" s="25">
        <v>0</v>
      </c>
      <c r="R4" s="25">
        <v>0</v>
      </c>
      <c r="S4" s="25">
        <v>0</v>
      </c>
      <c r="T4" s="26">
        <f t="shared" ref="T4:T50" si="0">IF(COUNT(D4:S4)=0,"",SUM(D4:S4))</f>
        <v>2413</v>
      </c>
    </row>
    <row r="5" spans="1:20">
      <c r="A5" s="9" t="s">
        <v>2</v>
      </c>
      <c r="B5" s="9" t="s">
        <v>9</v>
      </c>
      <c r="C5" s="24"/>
      <c r="D5" s="25"/>
      <c r="E5" s="27"/>
      <c r="F5" s="25"/>
      <c r="G5" s="25"/>
      <c r="H5" s="25"/>
      <c r="I5" s="25"/>
      <c r="J5" s="25"/>
      <c r="K5" s="25"/>
      <c r="L5" s="25"/>
      <c r="M5" s="25"/>
      <c r="N5" s="25"/>
      <c r="O5" s="25"/>
      <c r="P5" s="25"/>
      <c r="Q5" s="25"/>
      <c r="R5" s="25"/>
      <c r="S5" s="25"/>
      <c r="T5" s="26" t="str">
        <f t="shared" si="0"/>
        <v/>
      </c>
    </row>
    <row r="6" spans="1:20">
      <c r="A6" s="9" t="s">
        <v>2</v>
      </c>
      <c r="B6" s="9" t="s">
        <v>10</v>
      </c>
      <c r="C6" s="24"/>
      <c r="D6" s="25"/>
      <c r="E6" s="27"/>
      <c r="F6" s="25"/>
      <c r="G6" s="25"/>
      <c r="H6" s="25"/>
      <c r="I6" s="25"/>
      <c r="J6" s="25"/>
      <c r="K6" s="25"/>
      <c r="L6" s="25"/>
      <c r="M6" s="25"/>
      <c r="N6" s="25"/>
      <c r="O6" s="25"/>
      <c r="P6" s="25"/>
      <c r="Q6" s="25"/>
      <c r="R6" s="25"/>
      <c r="S6" s="25"/>
      <c r="T6" s="26" t="str">
        <f t="shared" si="0"/>
        <v/>
      </c>
    </row>
    <row r="7" spans="1:20">
      <c r="A7" s="9" t="s">
        <v>2</v>
      </c>
      <c r="B7" s="9" t="s">
        <v>11</v>
      </c>
      <c r="C7" s="24"/>
      <c r="D7" s="25"/>
      <c r="E7" s="25"/>
      <c r="F7" s="25"/>
      <c r="G7" s="25"/>
      <c r="H7" s="25"/>
      <c r="I7" s="25"/>
      <c r="J7" s="25"/>
      <c r="K7" s="25"/>
      <c r="L7" s="25"/>
      <c r="M7" s="25"/>
      <c r="N7" s="25"/>
      <c r="O7" s="25"/>
      <c r="P7" s="25"/>
      <c r="Q7" s="25"/>
      <c r="R7" s="25"/>
      <c r="S7" s="25"/>
      <c r="T7" s="26" t="str">
        <f t="shared" si="0"/>
        <v/>
      </c>
    </row>
    <row r="8" spans="1:20">
      <c r="A8" s="9" t="s">
        <v>2</v>
      </c>
      <c r="B8" s="9" t="s">
        <v>12</v>
      </c>
      <c r="C8" s="24"/>
      <c r="D8" s="25"/>
      <c r="E8" s="25"/>
      <c r="F8" s="25"/>
      <c r="G8" s="25"/>
      <c r="H8" s="25"/>
      <c r="I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6" t="str">
        <f t="shared" si="0"/>
        <v/>
      </c>
    </row>
    <row r="9" spans="1:20">
      <c r="A9" s="9" t="s">
        <v>2</v>
      </c>
      <c r="B9" s="9" t="s">
        <v>13</v>
      </c>
      <c r="C9" s="24"/>
      <c r="D9" s="25"/>
      <c r="E9" s="25"/>
      <c r="F9" s="25"/>
      <c r="G9" s="25"/>
      <c r="H9" s="25"/>
      <c r="I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6" t="str">
        <f t="shared" si="0"/>
        <v/>
      </c>
    </row>
    <row r="10" spans="1:20">
      <c r="A10" s="9" t="s">
        <v>2</v>
      </c>
      <c r="B10" s="9" t="s">
        <v>14</v>
      </c>
      <c r="C10" s="24"/>
      <c r="D10" s="25"/>
      <c r="E10" s="25"/>
      <c r="F10" s="25"/>
      <c r="G10" s="25"/>
      <c r="H10" s="25"/>
      <c r="I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6" t="str">
        <f t="shared" si="0"/>
        <v/>
      </c>
    </row>
    <row r="11" spans="1:20">
      <c r="A11" s="9" t="s">
        <v>2</v>
      </c>
      <c r="B11" s="9" t="s">
        <v>15</v>
      </c>
      <c r="C11" s="24"/>
      <c r="D11" s="25"/>
      <c r="E11" s="25"/>
      <c r="F11" s="25"/>
      <c r="G11" s="25"/>
      <c r="H11" s="25"/>
      <c r="I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6" t="str">
        <f t="shared" si="0"/>
        <v/>
      </c>
    </row>
    <row r="12" spans="1:20">
      <c r="A12" s="9" t="s">
        <v>2</v>
      </c>
      <c r="B12" s="9" t="s">
        <v>16</v>
      </c>
      <c r="C12" s="24"/>
      <c r="D12" s="25"/>
      <c r="E12" s="25"/>
      <c r="F12" s="25"/>
      <c r="G12" s="25"/>
      <c r="H12" s="25"/>
      <c r="I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6" t="str">
        <f t="shared" si="0"/>
        <v/>
      </c>
    </row>
    <row r="13" spans="1:20">
      <c r="A13" s="9" t="s">
        <v>2</v>
      </c>
      <c r="B13" s="9" t="s">
        <v>17</v>
      </c>
      <c r="C13" s="24"/>
      <c r="D13" s="25"/>
      <c r="E13" s="25"/>
      <c r="F13" s="25"/>
      <c r="G13" s="25"/>
      <c r="H13" s="25"/>
      <c r="I13" s="25"/>
      <c r="J13" s="25"/>
      <c r="K13" s="25"/>
      <c r="L13" s="25"/>
      <c r="M13" s="25"/>
      <c r="N13" s="25"/>
      <c r="O13" s="25"/>
      <c r="P13" s="25"/>
      <c r="Q13" s="25"/>
      <c r="R13" s="25"/>
      <c r="S13" s="25"/>
      <c r="T13" s="26" t="str">
        <f t="shared" si="0"/>
        <v/>
      </c>
    </row>
    <row r="14" spans="1:20">
      <c r="A14" s="9" t="s">
        <v>2</v>
      </c>
      <c r="B14" s="9" t="s">
        <v>18</v>
      </c>
      <c r="C14" s="24"/>
      <c r="D14" s="25"/>
      <c r="E14" s="25"/>
      <c r="F14" s="25"/>
      <c r="G14" s="25"/>
      <c r="H14" s="25"/>
      <c r="I14" s="25"/>
      <c r="J14" s="25"/>
      <c r="K14" s="25"/>
      <c r="L14" s="25"/>
      <c r="M14" s="25"/>
      <c r="N14" s="25"/>
      <c r="O14" s="25"/>
      <c r="P14" s="25"/>
      <c r="Q14" s="25"/>
      <c r="R14" s="25"/>
      <c r="S14" s="25"/>
      <c r="T14" s="26" t="str">
        <f t="shared" si="0"/>
        <v/>
      </c>
    </row>
    <row r="15" spans="1:20">
      <c r="A15" s="9" t="s">
        <v>1</v>
      </c>
      <c r="B15" s="9" t="s">
        <v>7</v>
      </c>
      <c r="C15" s="28">
        <v>120</v>
      </c>
      <c r="D15" s="29">
        <f>D3*1.5</f>
        <v>1005</v>
      </c>
      <c r="E15" s="27">
        <f>E3*1.7</f>
        <v>618.79999999999995</v>
      </c>
      <c r="F15" s="25">
        <f>F3*2</f>
        <v>260</v>
      </c>
      <c r="G15" s="25">
        <f t="shared" ref="G15:S16" si="1">G3*2</f>
        <v>342</v>
      </c>
      <c r="H15" s="25">
        <f t="shared" si="1"/>
        <v>574</v>
      </c>
      <c r="I15" s="25">
        <f t="shared" si="1"/>
        <v>372</v>
      </c>
      <c r="J15" s="25">
        <f t="shared" si="1"/>
        <v>512</v>
      </c>
      <c r="K15" s="25">
        <f t="shared" si="1"/>
        <v>474</v>
      </c>
      <c r="L15" s="25">
        <f t="shared" si="1"/>
        <v>50</v>
      </c>
      <c r="M15" s="25">
        <f t="shared" si="1"/>
        <v>4</v>
      </c>
      <c r="N15" s="25">
        <f t="shared" si="1"/>
        <v>28</v>
      </c>
      <c r="O15" s="25">
        <v>5</v>
      </c>
      <c r="P15" s="25">
        <v>3</v>
      </c>
      <c r="Q15" s="25">
        <f t="shared" si="1"/>
        <v>0</v>
      </c>
      <c r="R15" s="25">
        <f t="shared" si="1"/>
        <v>0</v>
      </c>
      <c r="S15" s="25">
        <f t="shared" si="1"/>
        <v>0</v>
      </c>
      <c r="T15" s="26">
        <f t="shared" si="0"/>
        <v>4247.8</v>
      </c>
    </row>
    <row r="16" spans="1:20">
      <c r="A16" s="9" t="s">
        <v>1</v>
      </c>
      <c r="B16" s="9" t="s">
        <v>8</v>
      </c>
      <c r="C16" s="28">
        <v>110</v>
      </c>
      <c r="D16" s="29">
        <f>D4*1.5</f>
        <v>987</v>
      </c>
      <c r="E16" s="27">
        <f>E4*1.7</f>
        <v>622.19999999999993</v>
      </c>
      <c r="F16" s="25">
        <f>F4*2</f>
        <v>242</v>
      </c>
      <c r="G16" s="25">
        <f t="shared" si="1"/>
        <v>344</v>
      </c>
      <c r="H16" s="25">
        <f t="shared" si="1"/>
        <v>592</v>
      </c>
      <c r="I16" s="25">
        <f t="shared" si="1"/>
        <v>364</v>
      </c>
      <c r="J16" s="25">
        <f t="shared" si="1"/>
        <v>682</v>
      </c>
      <c r="K16" s="25">
        <f t="shared" si="1"/>
        <v>496</v>
      </c>
      <c r="L16" s="25">
        <f t="shared" si="1"/>
        <v>28</v>
      </c>
      <c r="M16" s="25">
        <f t="shared" si="1"/>
        <v>6</v>
      </c>
      <c r="N16" s="25">
        <f t="shared" si="1"/>
        <v>24</v>
      </c>
      <c r="O16" s="25">
        <v>7</v>
      </c>
      <c r="P16" s="25">
        <v>6</v>
      </c>
      <c r="Q16" s="25">
        <f t="shared" si="1"/>
        <v>0</v>
      </c>
      <c r="R16" s="25">
        <f t="shared" si="1"/>
        <v>0</v>
      </c>
      <c r="S16" s="25">
        <f t="shared" si="1"/>
        <v>0</v>
      </c>
      <c r="T16" s="26">
        <f t="shared" si="0"/>
        <v>4400.2</v>
      </c>
    </row>
    <row r="17" spans="1:20">
      <c r="A17" s="9" t="s">
        <v>1</v>
      </c>
      <c r="B17" s="9" t="s">
        <v>9</v>
      </c>
      <c r="C17" s="28"/>
      <c r="D17" s="29"/>
      <c r="E17" s="27"/>
      <c r="F17" s="25"/>
      <c r="G17" s="25"/>
      <c r="H17" s="25"/>
      <c r="I17" s="25"/>
      <c r="J17" s="25"/>
      <c r="K17" s="25"/>
      <c r="L17" s="25"/>
      <c r="M17" s="25"/>
      <c r="N17" s="25"/>
      <c r="O17" s="25"/>
      <c r="P17" s="25"/>
      <c r="Q17" s="25"/>
      <c r="R17" s="25"/>
      <c r="S17" s="25"/>
      <c r="T17" s="26" t="str">
        <f t="shared" si="0"/>
        <v/>
      </c>
    </row>
    <row r="18" spans="1:20">
      <c r="A18" s="9" t="s">
        <v>1</v>
      </c>
      <c r="B18" s="9" t="s">
        <v>10</v>
      </c>
      <c r="C18" s="28"/>
      <c r="D18" s="29"/>
      <c r="E18" s="27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6" t="str">
        <f t="shared" si="0"/>
        <v/>
      </c>
    </row>
    <row r="19" spans="1:20">
      <c r="A19" s="9" t="s">
        <v>1</v>
      </c>
      <c r="B19" s="9" t="s">
        <v>11</v>
      </c>
      <c r="C19" s="24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6" t="str">
        <f t="shared" si="0"/>
        <v/>
      </c>
    </row>
    <row r="20" spans="1:20">
      <c r="A20" s="9" t="s">
        <v>1</v>
      </c>
      <c r="B20" s="9" t="s">
        <v>12</v>
      </c>
      <c r="C20" s="24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6" t="str">
        <f t="shared" si="0"/>
        <v/>
      </c>
    </row>
    <row r="21" spans="1:20">
      <c r="A21" s="9" t="s">
        <v>1</v>
      </c>
      <c r="B21" s="9" t="s">
        <v>13</v>
      </c>
      <c r="C21" s="24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6" t="str">
        <f t="shared" si="0"/>
        <v/>
      </c>
    </row>
    <row r="22" spans="1:20">
      <c r="A22" s="9" t="s">
        <v>1</v>
      </c>
      <c r="B22" s="9" t="s">
        <v>14</v>
      </c>
      <c r="C22" s="24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6" t="str">
        <f t="shared" si="0"/>
        <v/>
      </c>
    </row>
    <row r="23" spans="1:20">
      <c r="A23" s="9" t="s">
        <v>1</v>
      </c>
      <c r="B23" s="9" t="s">
        <v>15</v>
      </c>
      <c r="C23" s="24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6" t="str">
        <f t="shared" si="0"/>
        <v/>
      </c>
    </row>
    <row r="24" spans="1:20">
      <c r="A24" s="9" t="s">
        <v>1</v>
      </c>
      <c r="B24" s="9" t="s">
        <v>16</v>
      </c>
      <c r="C24" s="24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6" t="str">
        <f t="shared" si="0"/>
        <v/>
      </c>
    </row>
    <row r="25" spans="1:20">
      <c r="A25" s="9" t="s">
        <v>1</v>
      </c>
      <c r="B25" s="9" t="s">
        <v>17</v>
      </c>
      <c r="C25" s="24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6" t="str">
        <f t="shared" si="0"/>
        <v/>
      </c>
    </row>
    <row r="26" spans="1:20">
      <c r="A26" s="9" t="s">
        <v>1</v>
      </c>
      <c r="B26" s="9" t="s">
        <v>18</v>
      </c>
      <c r="C26" s="24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6" t="str">
        <f t="shared" si="0"/>
        <v/>
      </c>
    </row>
    <row r="27" spans="1:20">
      <c r="A27" s="9" t="s">
        <v>3</v>
      </c>
      <c r="B27" s="9" t="s">
        <v>7</v>
      </c>
      <c r="C27" s="28">
        <v>130</v>
      </c>
      <c r="D27" s="29">
        <f>D15*1.5</f>
        <v>1507.5</v>
      </c>
      <c r="E27" s="27">
        <f>E15*1.7</f>
        <v>1051.9599999999998</v>
      </c>
      <c r="F27" s="25">
        <f>F15*2</f>
        <v>520</v>
      </c>
      <c r="G27" s="25">
        <f t="shared" ref="G27:N28" si="2">G15*2</f>
        <v>684</v>
      </c>
      <c r="H27" s="25">
        <f t="shared" si="2"/>
        <v>1148</v>
      </c>
      <c r="I27" s="25">
        <f t="shared" si="2"/>
        <v>744</v>
      </c>
      <c r="J27" s="25">
        <f t="shared" si="2"/>
        <v>1024</v>
      </c>
      <c r="K27" s="25">
        <f t="shared" si="2"/>
        <v>948</v>
      </c>
      <c r="L27" s="25">
        <f t="shared" si="2"/>
        <v>100</v>
      </c>
      <c r="M27" s="25">
        <f t="shared" si="2"/>
        <v>8</v>
      </c>
      <c r="N27" s="25">
        <f t="shared" si="2"/>
        <v>56</v>
      </c>
      <c r="O27" s="25">
        <v>5</v>
      </c>
      <c r="P27" s="25">
        <v>3</v>
      </c>
      <c r="Q27" s="25">
        <f t="shared" ref="Q27:S28" si="3">Q15*2</f>
        <v>0</v>
      </c>
      <c r="R27" s="25">
        <f t="shared" si="3"/>
        <v>0</v>
      </c>
      <c r="S27" s="25">
        <f t="shared" si="3"/>
        <v>0</v>
      </c>
      <c r="T27" s="26">
        <f t="shared" si="0"/>
        <v>7799.46</v>
      </c>
    </row>
    <row r="28" spans="1:20">
      <c r="A28" s="9" t="s">
        <v>3</v>
      </c>
      <c r="B28" s="9" t="s">
        <v>8</v>
      </c>
      <c r="C28" s="28">
        <v>125</v>
      </c>
      <c r="D28" s="29">
        <f>D16*1.5</f>
        <v>1480.5</v>
      </c>
      <c r="E28" s="27">
        <f>E16*1.7</f>
        <v>1057.7399999999998</v>
      </c>
      <c r="F28" s="25">
        <f>F16*2</f>
        <v>484</v>
      </c>
      <c r="G28" s="25">
        <f t="shared" si="2"/>
        <v>688</v>
      </c>
      <c r="H28" s="25">
        <f t="shared" si="2"/>
        <v>1184</v>
      </c>
      <c r="I28" s="25">
        <f t="shared" si="2"/>
        <v>728</v>
      </c>
      <c r="J28" s="25">
        <f t="shared" si="2"/>
        <v>1364</v>
      </c>
      <c r="K28" s="25">
        <f t="shared" si="2"/>
        <v>992</v>
      </c>
      <c r="L28" s="25">
        <f t="shared" si="2"/>
        <v>56</v>
      </c>
      <c r="M28" s="25">
        <f t="shared" si="2"/>
        <v>12</v>
      </c>
      <c r="N28" s="25">
        <f t="shared" si="2"/>
        <v>48</v>
      </c>
      <c r="O28" s="25">
        <v>7</v>
      </c>
      <c r="P28" s="25">
        <v>6</v>
      </c>
      <c r="Q28" s="25">
        <f t="shared" si="3"/>
        <v>0</v>
      </c>
      <c r="R28" s="25">
        <f t="shared" si="3"/>
        <v>0</v>
      </c>
      <c r="S28" s="25">
        <f t="shared" si="3"/>
        <v>0</v>
      </c>
      <c r="T28" s="26">
        <f t="shared" si="0"/>
        <v>8107.24</v>
      </c>
    </row>
    <row r="29" spans="1:20">
      <c r="A29" s="9" t="s">
        <v>3</v>
      </c>
      <c r="B29" s="9" t="s">
        <v>9</v>
      </c>
      <c r="C29" s="28"/>
      <c r="D29" s="29"/>
      <c r="E29" s="27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Q29" s="25"/>
      <c r="R29" s="25"/>
      <c r="S29" s="25"/>
      <c r="T29" s="26" t="str">
        <f t="shared" si="0"/>
        <v/>
      </c>
    </row>
    <row r="30" spans="1:20">
      <c r="A30" s="9" t="s">
        <v>3</v>
      </c>
      <c r="B30" s="9" t="s">
        <v>10</v>
      </c>
      <c r="C30" s="28"/>
      <c r="D30" s="29"/>
      <c r="E30" s="27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Q30" s="25"/>
      <c r="R30" s="25"/>
      <c r="S30" s="25"/>
      <c r="T30" s="26" t="str">
        <f t="shared" si="0"/>
        <v/>
      </c>
    </row>
    <row r="31" spans="1:20">
      <c r="A31" s="9" t="s">
        <v>3</v>
      </c>
      <c r="B31" s="9" t="s">
        <v>11</v>
      </c>
      <c r="C31" s="24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Q31" s="25"/>
      <c r="R31" s="25"/>
      <c r="S31" s="25"/>
      <c r="T31" s="26" t="str">
        <f t="shared" si="0"/>
        <v/>
      </c>
    </row>
    <row r="32" spans="1:20">
      <c r="A32" s="9" t="s">
        <v>3</v>
      </c>
      <c r="B32" s="9" t="s">
        <v>12</v>
      </c>
      <c r="C32" s="24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Q32" s="25"/>
      <c r="R32" s="25"/>
      <c r="S32" s="25"/>
      <c r="T32" s="26" t="str">
        <f t="shared" si="0"/>
        <v/>
      </c>
    </row>
    <row r="33" spans="1:20">
      <c r="A33" s="9" t="s">
        <v>3</v>
      </c>
      <c r="B33" s="9" t="s">
        <v>13</v>
      </c>
      <c r="C33" s="24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Q33" s="25"/>
      <c r="R33" s="25"/>
      <c r="S33" s="25"/>
      <c r="T33" s="26" t="str">
        <f t="shared" si="0"/>
        <v/>
      </c>
    </row>
    <row r="34" spans="1:20">
      <c r="A34" s="9" t="s">
        <v>3</v>
      </c>
      <c r="B34" s="9" t="s">
        <v>14</v>
      </c>
      <c r="C34" s="24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Q34" s="25"/>
      <c r="R34" s="25"/>
      <c r="S34" s="25"/>
      <c r="T34" s="26" t="str">
        <f t="shared" si="0"/>
        <v/>
      </c>
    </row>
    <row r="35" spans="1:20">
      <c r="A35" s="9" t="s">
        <v>3</v>
      </c>
      <c r="B35" s="9" t="s">
        <v>15</v>
      </c>
      <c r="C35" s="24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Q35" s="25"/>
      <c r="R35" s="25"/>
      <c r="S35" s="25"/>
      <c r="T35" s="26" t="str">
        <f t="shared" si="0"/>
        <v/>
      </c>
    </row>
    <row r="36" spans="1:20">
      <c r="A36" s="9" t="s">
        <v>3</v>
      </c>
      <c r="B36" s="9" t="s">
        <v>16</v>
      </c>
      <c r="C36" s="24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Q36" s="25"/>
      <c r="R36" s="25"/>
      <c r="S36" s="25"/>
      <c r="T36" s="26" t="str">
        <f t="shared" si="0"/>
        <v/>
      </c>
    </row>
    <row r="37" spans="1:20">
      <c r="A37" s="9" t="s">
        <v>3</v>
      </c>
      <c r="B37" s="9" t="s">
        <v>17</v>
      </c>
      <c r="C37" s="24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Q37" s="25"/>
      <c r="R37" s="25"/>
      <c r="S37" s="25"/>
      <c r="T37" s="26" t="str">
        <f t="shared" si="0"/>
        <v/>
      </c>
    </row>
    <row r="38" spans="1:20">
      <c r="A38" s="9" t="s">
        <v>3</v>
      </c>
      <c r="B38" s="9" t="s">
        <v>18</v>
      </c>
      <c r="C38" s="24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Q38" s="25"/>
      <c r="R38" s="25"/>
      <c r="S38" s="25"/>
      <c r="T38" s="26" t="str">
        <f t="shared" si="0"/>
        <v/>
      </c>
    </row>
    <row r="39" spans="1:20">
      <c r="A39" s="9" t="s">
        <v>4</v>
      </c>
      <c r="B39" s="9" t="s">
        <v>7</v>
      </c>
      <c r="C39" s="28"/>
      <c r="D39" s="29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Q39" s="25"/>
      <c r="R39" s="25"/>
      <c r="S39" s="25"/>
      <c r="T39" s="26" t="str">
        <f t="shared" si="0"/>
        <v/>
      </c>
    </row>
    <row r="40" spans="1:20">
      <c r="A40" s="9" t="s">
        <v>4</v>
      </c>
      <c r="B40" s="9" t="s">
        <v>8</v>
      </c>
      <c r="C40" s="24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6" t="str">
        <f t="shared" si="0"/>
        <v/>
      </c>
    </row>
    <row r="41" spans="1:20">
      <c r="A41" s="9" t="s">
        <v>4</v>
      </c>
      <c r="B41" s="9" t="s">
        <v>9</v>
      </c>
      <c r="C41" s="24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6" t="str">
        <f t="shared" si="0"/>
        <v/>
      </c>
    </row>
    <row r="42" spans="1:20">
      <c r="A42" s="9" t="s">
        <v>4</v>
      </c>
      <c r="B42" s="9" t="s">
        <v>10</v>
      </c>
      <c r="C42" s="24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6" t="str">
        <f t="shared" si="0"/>
        <v/>
      </c>
    </row>
    <row r="43" spans="1:20">
      <c r="A43" s="9" t="s">
        <v>4</v>
      </c>
      <c r="B43" s="9" t="s">
        <v>11</v>
      </c>
      <c r="C43" s="24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6" t="str">
        <f t="shared" si="0"/>
        <v/>
      </c>
    </row>
    <row r="44" spans="1:20">
      <c r="A44" s="9" t="s">
        <v>4</v>
      </c>
      <c r="B44" s="9" t="s">
        <v>12</v>
      </c>
      <c r="C44" s="24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Q44" s="25"/>
      <c r="R44" s="25"/>
      <c r="S44" s="25"/>
      <c r="T44" s="26" t="str">
        <f t="shared" si="0"/>
        <v/>
      </c>
    </row>
    <row r="45" spans="1:20">
      <c r="A45" s="9" t="s">
        <v>4</v>
      </c>
      <c r="B45" s="9" t="s">
        <v>13</v>
      </c>
      <c r="C45" s="24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Q45" s="25"/>
      <c r="R45" s="25"/>
      <c r="S45" s="25"/>
      <c r="T45" s="26" t="str">
        <f t="shared" si="0"/>
        <v/>
      </c>
    </row>
    <row r="46" spans="1:20">
      <c r="A46" s="9" t="s">
        <v>4</v>
      </c>
      <c r="B46" s="9" t="s">
        <v>14</v>
      </c>
      <c r="C46" s="24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Q46" s="25"/>
      <c r="R46" s="25"/>
      <c r="S46" s="25"/>
      <c r="T46" s="26" t="str">
        <f t="shared" si="0"/>
        <v/>
      </c>
    </row>
    <row r="47" spans="1:20">
      <c r="A47" s="9" t="s">
        <v>4</v>
      </c>
      <c r="B47" s="9" t="s">
        <v>15</v>
      </c>
      <c r="C47" s="24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Q47" s="25"/>
      <c r="R47" s="25"/>
      <c r="S47" s="25"/>
      <c r="T47" s="26" t="str">
        <f t="shared" si="0"/>
        <v/>
      </c>
    </row>
    <row r="48" spans="1:20">
      <c r="A48" s="9" t="s">
        <v>4</v>
      </c>
      <c r="B48" s="9" t="s">
        <v>16</v>
      </c>
      <c r="C48" s="24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Q48" s="25"/>
      <c r="R48" s="25"/>
      <c r="S48" s="25"/>
      <c r="T48" s="26" t="str">
        <f t="shared" si="0"/>
        <v/>
      </c>
    </row>
    <row r="49" spans="1:20">
      <c r="A49" s="9" t="s">
        <v>4</v>
      </c>
      <c r="B49" s="9" t="s">
        <v>17</v>
      </c>
      <c r="C49" s="24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Q49" s="25"/>
      <c r="R49" s="25"/>
      <c r="S49" s="25"/>
      <c r="T49" s="26" t="str">
        <f t="shared" si="0"/>
        <v/>
      </c>
    </row>
    <row r="50" spans="1:20">
      <c r="A50" s="9" t="s">
        <v>4</v>
      </c>
      <c r="B50" s="9" t="s">
        <v>18</v>
      </c>
      <c r="C50" s="24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Q50" s="25"/>
      <c r="R50" s="25"/>
      <c r="S50" s="25"/>
      <c r="T50" s="26" t="str">
        <f t="shared" si="0"/>
        <v/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4FD770-CAB5-4A21-8236-B2AB3A09A7F3}">
  <dimension ref="A1:P353"/>
  <sheetViews>
    <sheetView zoomScale="85" zoomScaleNormal="85" workbookViewId="0">
      <selection activeCell="I14" sqref="I14"/>
    </sheetView>
  </sheetViews>
  <sheetFormatPr defaultRowHeight="16"/>
  <cols>
    <col min="1" max="1" width="7.6328125" style="43" customWidth="1"/>
    <col min="2" max="2" width="9.36328125" style="43" customWidth="1"/>
    <col min="3" max="3" width="15.1796875" style="43" customWidth="1"/>
    <col min="4" max="15" width="8.7265625" style="43"/>
    <col min="16" max="16" width="9.1796875" style="59" bestFit="1" customWidth="1"/>
    <col min="17" max="16384" width="8.7265625" style="43"/>
  </cols>
  <sheetData>
    <row r="1" spans="1:16">
      <c r="A1" s="42" t="s">
        <v>299</v>
      </c>
    </row>
    <row r="2" spans="1:16" ht="24.5" customHeight="1">
      <c r="A2" s="55" t="s">
        <v>45</v>
      </c>
      <c r="B2" s="60" t="s">
        <v>5</v>
      </c>
      <c r="C2" s="55" t="s">
        <v>46</v>
      </c>
      <c r="D2" s="61" t="s">
        <v>42</v>
      </c>
      <c r="E2" s="62" t="s">
        <v>43</v>
      </c>
      <c r="F2" s="62" t="s">
        <v>47</v>
      </c>
      <c r="G2" s="62" t="s">
        <v>48</v>
      </c>
      <c r="H2" s="62" t="s">
        <v>144</v>
      </c>
      <c r="I2" s="62" t="s">
        <v>145</v>
      </c>
      <c r="J2" s="62" t="s">
        <v>146</v>
      </c>
      <c r="K2" s="62" t="s">
        <v>147</v>
      </c>
      <c r="L2" s="62" t="s">
        <v>148</v>
      </c>
      <c r="M2" s="62" t="s">
        <v>149</v>
      </c>
      <c r="N2" s="62" t="s">
        <v>150</v>
      </c>
      <c r="O2" s="62" t="s">
        <v>151</v>
      </c>
      <c r="P2" s="63" t="s">
        <v>0</v>
      </c>
    </row>
    <row r="3" spans="1:16" ht="19" customHeight="1">
      <c r="A3" s="3">
        <v>1</v>
      </c>
      <c r="B3" s="3" t="s">
        <v>2</v>
      </c>
      <c r="C3" s="74" t="s">
        <v>49</v>
      </c>
      <c r="D3" s="64">
        <v>512</v>
      </c>
      <c r="E3" s="64">
        <v>586</v>
      </c>
      <c r="F3" s="64">
        <v>611</v>
      </c>
      <c r="G3" s="64">
        <v>716</v>
      </c>
      <c r="H3" s="65"/>
      <c r="I3" s="65"/>
      <c r="J3" s="65"/>
      <c r="K3" s="65"/>
      <c r="L3" s="65"/>
      <c r="M3" s="65"/>
      <c r="N3" s="65"/>
      <c r="O3" s="65"/>
      <c r="P3" s="66">
        <f>SUM(D3:O3)</f>
        <v>2425</v>
      </c>
    </row>
    <row r="4" spans="1:16">
      <c r="A4" s="3">
        <v>2</v>
      </c>
      <c r="B4" s="3" t="s">
        <v>2</v>
      </c>
      <c r="C4" s="74" t="s">
        <v>50</v>
      </c>
      <c r="D4" s="64">
        <v>557</v>
      </c>
      <c r="E4" s="64">
        <v>529</v>
      </c>
      <c r="F4" s="64">
        <v>562</v>
      </c>
      <c r="G4" s="64">
        <v>690</v>
      </c>
      <c r="H4" s="65"/>
      <c r="I4" s="65"/>
      <c r="J4" s="65"/>
      <c r="K4" s="65"/>
      <c r="L4" s="65"/>
      <c r="M4" s="65"/>
      <c r="N4" s="65"/>
      <c r="O4" s="65"/>
      <c r="P4" s="66">
        <f t="shared" ref="P4:P67" si="0">SUM(D4:O4)</f>
        <v>2338</v>
      </c>
    </row>
    <row r="5" spans="1:16">
      <c r="A5" s="3">
        <v>3</v>
      </c>
      <c r="B5" s="3" t="s">
        <v>2</v>
      </c>
      <c r="C5" s="74" t="s">
        <v>51</v>
      </c>
      <c r="D5" s="64">
        <v>183</v>
      </c>
      <c r="E5" s="64">
        <v>163</v>
      </c>
      <c r="F5" s="64">
        <v>223</v>
      </c>
      <c r="G5" s="64">
        <v>185</v>
      </c>
      <c r="H5" s="65"/>
      <c r="I5" s="65"/>
      <c r="J5" s="65"/>
      <c r="K5" s="65"/>
      <c r="L5" s="65"/>
      <c r="M5" s="65"/>
      <c r="N5" s="65"/>
      <c r="O5" s="65"/>
      <c r="P5" s="66">
        <f t="shared" si="0"/>
        <v>754</v>
      </c>
    </row>
    <row r="6" spans="1:16">
      <c r="A6" s="3">
        <v>4</v>
      </c>
      <c r="B6" s="3" t="s">
        <v>2</v>
      </c>
      <c r="C6" s="74" t="s">
        <v>52</v>
      </c>
      <c r="D6" s="64">
        <v>155</v>
      </c>
      <c r="E6" s="64">
        <v>144</v>
      </c>
      <c r="F6" s="64">
        <v>161</v>
      </c>
      <c r="G6" s="64">
        <v>174</v>
      </c>
      <c r="H6" s="65"/>
      <c r="I6" s="65"/>
      <c r="J6" s="65"/>
      <c r="K6" s="65"/>
      <c r="L6" s="65"/>
      <c r="M6" s="65"/>
      <c r="N6" s="65"/>
      <c r="O6" s="65"/>
      <c r="P6" s="66">
        <f t="shared" si="0"/>
        <v>634</v>
      </c>
    </row>
    <row r="7" spans="1:16">
      <c r="A7" s="3">
        <v>5</v>
      </c>
      <c r="B7" s="3" t="s">
        <v>2</v>
      </c>
      <c r="C7" s="74" t="s">
        <v>53</v>
      </c>
      <c r="D7" s="64">
        <v>148</v>
      </c>
      <c r="E7" s="64">
        <v>138</v>
      </c>
      <c r="F7" s="64">
        <v>171</v>
      </c>
      <c r="G7" s="64">
        <v>156</v>
      </c>
      <c r="H7" s="65"/>
      <c r="I7" s="65"/>
      <c r="J7" s="65"/>
      <c r="K7" s="65"/>
      <c r="L7" s="65"/>
      <c r="M7" s="65"/>
      <c r="N7" s="65"/>
      <c r="O7" s="65"/>
      <c r="P7" s="66">
        <f t="shared" si="0"/>
        <v>613</v>
      </c>
    </row>
    <row r="8" spans="1:16">
      <c r="A8" s="3">
        <v>6</v>
      </c>
      <c r="B8" s="3" t="s">
        <v>2</v>
      </c>
      <c r="C8" s="74" t="s">
        <v>54</v>
      </c>
      <c r="D8" s="64">
        <v>94</v>
      </c>
      <c r="E8" s="64">
        <v>92</v>
      </c>
      <c r="F8" s="64">
        <v>98</v>
      </c>
      <c r="G8" s="64">
        <v>129</v>
      </c>
      <c r="H8" s="65"/>
      <c r="I8" s="65"/>
      <c r="J8" s="65"/>
      <c r="K8" s="65"/>
      <c r="L8" s="65"/>
      <c r="M8" s="65"/>
      <c r="N8" s="65"/>
      <c r="O8" s="65"/>
      <c r="P8" s="66">
        <f t="shared" si="0"/>
        <v>413</v>
      </c>
    </row>
    <row r="9" spans="1:16">
      <c r="A9" s="3">
        <v>7</v>
      </c>
      <c r="B9" s="3" t="s">
        <v>2</v>
      </c>
      <c r="C9" s="74" t="s">
        <v>55</v>
      </c>
      <c r="D9" s="64">
        <v>83</v>
      </c>
      <c r="E9" s="64">
        <v>89</v>
      </c>
      <c r="F9" s="64">
        <v>92</v>
      </c>
      <c r="G9" s="64">
        <v>100</v>
      </c>
      <c r="H9" s="65"/>
      <c r="I9" s="65"/>
      <c r="J9" s="65"/>
      <c r="K9" s="65"/>
      <c r="L9" s="65"/>
      <c r="M9" s="65"/>
      <c r="N9" s="65"/>
      <c r="O9" s="65"/>
      <c r="P9" s="66">
        <f t="shared" si="0"/>
        <v>364</v>
      </c>
    </row>
    <row r="10" spans="1:16">
      <c r="A10" s="3">
        <v>8</v>
      </c>
      <c r="B10" s="3" t="s">
        <v>2</v>
      </c>
      <c r="C10" s="74" t="s">
        <v>56</v>
      </c>
      <c r="D10" s="64">
        <v>87</v>
      </c>
      <c r="E10" s="64">
        <v>85</v>
      </c>
      <c r="F10" s="64">
        <v>85</v>
      </c>
      <c r="G10" s="64">
        <v>84</v>
      </c>
      <c r="H10" s="65"/>
      <c r="I10" s="65"/>
      <c r="J10" s="65"/>
      <c r="K10" s="65"/>
      <c r="L10" s="65"/>
      <c r="M10" s="65"/>
      <c r="N10" s="65"/>
      <c r="O10" s="65"/>
      <c r="P10" s="66">
        <f t="shared" si="0"/>
        <v>341</v>
      </c>
    </row>
    <row r="11" spans="1:16">
      <c r="A11" s="3">
        <v>9</v>
      </c>
      <c r="B11" s="3" t="s">
        <v>2</v>
      </c>
      <c r="C11" s="74" t="s">
        <v>57</v>
      </c>
      <c r="D11" s="64">
        <v>56</v>
      </c>
      <c r="E11" s="64">
        <v>70</v>
      </c>
      <c r="F11" s="64">
        <v>68</v>
      </c>
      <c r="G11" s="64">
        <v>94</v>
      </c>
      <c r="H11" s="65"/>
      <c r="I11" s="65"/>
      <c r="J11" s="65"/>
      <c r="K11" s="65"/>
      <c r="L11" s="65"/>
      <c r="M11" s="65"/>
      <c r="N11" s="65"/>
      <c r="O11" s="65"/>
      <c r="P11" s="66">
        <f t="shared" si="0"/>
        <v>288</v>
      </c>
    </row>
    <row r="12" spans="1:16">
      <c r="A12" s="3">
        <v>10</v>
      </c>
      <c r="B12" s="3" t="s">
        <v>2</v>
      </c>
      <c r="C12" s="74" t="s">
        <v>58</v>
      </c>
      <c r="D12" s="64">
        <v>60</v>
      </c>
      <c r="E12" s="64">
        <v>36</v>
      </c>
      <c r="F12" s="64">
        <v>53</v>
      </c>
      <c r="G12" s="64">
        <v>48</v>
      </c>
      <c r="H12" s="65"/>
      <c r="I12" s="65"/>
      <c r="J12" s="65"/>
      <c r="K12" s="65"/>
      <c r="L12" s="65"/>
      <c r="M12" s="65"/>
      <c r="N12" s="65"/>
      <c r="O12" s="65"/>
      <c r="P12" s="66">
        <f t="shared" si="0"/>
        <v>197</v>
      </c>
    </row>
    <row r="13" spans="1:16">
      <c r="A13" s="3">
        <v>11</v>
      </c>
      <c r="B13" s="3" t="s">
        <v>2</v>
      </c>
      <c r="C13" s="74" t="s">
        <v>59</v>
      </c>
      <c r="D13" s="64">
        <v>60</v>
      </c>
      <c r="E13" s="64">
        <v>36</v>
      </c>
      <c r="F13" s="64">
        <v>54</v>
      </c>
      <c r="G13" s="64">
        <v>32</v>
      </c>
      <c r="H13" s="65"/>
      <c r="I13" s="65"/>
      <c r="J13" s="65"/>
      <c r="K13" s="65"/>
      <c r="L13" s="65"/>
      <c r="M13" s="65"/>
      <c r="N13" s="65"/>
      <c r="O13" s="65"/>
      <c r="P13" s="66">
        <f t="shared" si="0"/>
        <v>182</v>
      </c>
    </row>
    <row r="14" spans="1:16">
      <c r="A14" s="3">
        <v>12</v>
      </c>
      <c r="B14" s="3" t="s">
        <v>2</v>
      </c>
      <c r="C14" s="74" t="s">
        <v>60</v>
      </c>
      <c r="D14" s="64">
        <v>48</v>
      </c>
      <c r="E14" s="64">
        <v>34</v>
      </c>
      <c r="F14" s="64">
        <v>44</v>
      </c>
      <c r="G14" s="64">
        <v>38</v>
      </c>
      <c r="H14" s="65"/>
      <c r="I14" s="65"/>
      <c r="J14" s="65"/>
      <c r="K14" s="65"/>
      <c r="L14" s="65"/>
      <c r="M14" s="65"/>
      <c r="N14" s="65"/>
      <c r="O14" s="65"/>
      <c r="P14" s="66">
        <f t="shared" si="0"/>
        <v>164</v>
      </c>
    </row>
    <row r="15" spans="1:16">
      <c r="A15" s="3">
        <v>13</v>
      </c>
      <c r="B15" s="3" t="s">
        <v>2</v>
      </c>
      <c r="C15" s="74" t="s">
        <v>61</v>
      </c>
      <c r="D15" s="64">
        <v>37</v>
      </c>
      <c r="E15" s="64">
        <v>41</v>
      </c>
      <c r="F15" s="64">
        <v>31</v>
      </c>
      <c r="G15" s="64">
        <v>28</v>
      </c>
      <c r="H15" s="65"/>
      <c r="I15" s="65"/>
      <c r="J15" s="65"/>
      <c r="K15" s="65"/>
      <c r="L15" s="65"/>
      <c r="M15" s="65"/>
      <c r="N15" s="65"/>
      <c r="O15" s="65"/>
      <c r="P15" s="66">
        <f t="shared" si="0"/>
        <v>137</v>
      </c>
    </row>
    <row r="16" spans="1:16">
      <c r="A16" s="3">
        <v>14</v>
      </c>
      <c r="B16" s="3" t="s">
        <v>2</v>
      </c>
      <c r="C16" s="74" t="s">
        <v>62</v>
      </c>
      <c r="D16" s="64">
        <v>31</v>
      </c>
      <c r="E16" s="64">
        <v>36</v>
      </c>
      <c r="F16" s="64">
        <v>26</v>
      </c>
      <c r="G16" s="64">
        <v>30</v>
      </c>
      <c r="H16" s="65"/>
      <c r="I16" s="65"/>
      <c r="J16" s="65"/>
      <c r="K16" s="65"/>
      <c r="L16" s="65"/>
      <c r="M16" s="65"/>
      <c r="N16" s="65"/>
      <c r="O16" s="65"/>
      <c r="P16" s="66">
        <f t="shared" si="0"/>
        <v>123</v>
      </c>
    </row>
    <row r="17" spans="1:16">
      <c r="A17" s="3">
        <v>15</v>
      </c>
      <c r="B17" s="3" t="s">
        <v>2</v>
      </c>
      <c r="C17" s="74" t="s">
        <v>63</v>
      </c>
      <c r="D17" s="64">
        <v>22</v>
      </c>
      <c r="E17" s="64">
        <v>24</v>
      </c>
      <c r="F17" s="64">
        <v>29</v>
      </c>
      <c r="G17" s="64">
        <v>26</v>
      </c>
      <c r="H17" s="65"/>
      <c r="I17" s="65"/>
      <c r="J17" s="65"/>
      <c r="K17" s="65"/>
      <c r="L17" s="65"/>
      <c r="M17" s="65"/>
      <c r="N17" s="65"/>
      <c r="O17" s="65"/>
      <c r="P17" s="66">
        <f t="shared" si="0"/>
        <v>101</v>
      </c>
    </row>
    <row r="18" spans="1:16">
      <c r="A18" s="3">
        <v>16</v>
      </c>
      <c r="B18" s="3" t="s">
        <v>2</v>
      </c>
      <c r="C18" s="74" t="s">
        <v>64</v>
      </c>
      <c r="D18" s="64">
        <v>1</v>
      </c>
      <c r="E18" s="64">
        <v>6</v>
      </c>
      <c r="F18" s="64">
        <v>60</v>
      </c>
      <c r="G18" s="64">
        <v>39</v>
      </c>
      <c r="H18" s="65"/>
      <c r="I18" s="65"/>
      <c r="J18" s="65"/>
      <c r="K18" s="65"/>
      <c r="L18" s="65"/>
      <c r="M18" s="65"/>
      <c r="N18" s="65"/>
      <c r="O18" s="65"/>
      <c r="P18" s="66">
        <f t="shared" si="0"/>
        <v>106</v>
      </c>
    </row>
    <row r="19" spans="1:16">
      <c r="A19" s="3">
        <v>17</v>
      </c>
      <c r="B19" s="3" t="s">
        <v>2</v>
      </c>
      <c r="C19" s="74" t="s">
        <v>65</v>
      </c>
      <c r="D19" s="64">
        <v>22</v>
      </c>
      <c r="E19" s="64">
        <v>29</v>
      </c>
      <c r="F19" s="64">
        <v>27</v>
      </c>
      <c r="G19" s="64">
        <v>28</v>
      </c>
      <c r="H19" s="65"/>
      <c r="I19" s="65"/>
      <c r="J19" s="65"/>
      <c r="K19" s="65"/>
      <c r="L19" s="65"/>
      <c r="M19" s="65"/>
      <c r="N19" s="65"/>
      <c r="O19" s="65"/>
      <c r="P19" s="66">
        <f t="shared" si="0"/>
        <v>106</v>
      </c>
    </row>
    <row r="20" spans="1:16">
      <c r="A20" s="3">
        <v>18</v>
      </c>
      <c r="B20" s="3" t="s">
        <v>2</v>
      </c>
      <c r="C20" s="74" t="s">
        <v>66</v>
      </c>
      <c r="D20" s="64">
        <v>20</v>
      </c>
      <c r="E20" s="64">
        <v>21</v>
      </c>
      <c r="F20" s="64">
        <v>19</v>
      </c>
      <c r="G20" s="64">
        <v>24</v>
      </c>
      <c r="H20" s="65"/>
      <c r="I20" s="65"/>
      <c r="J20" s="65"/>
      <c r="K20" s="65"/>
      <c r="L20" s="65"/>
      <c r="M20" s="65"/>
      <c r="N20" s="65"/>
      <c r="O20" s="65"/>
      <c r="P20" s="66">
        <f t="shared" si="0"/>
        <v>84</v>
      </c>
    </row>
    <row r="21" spans="1:16">
      <c r="A21" s="3">
        <v>19</v>
      </c>
      <c r="B21" s="3" t="s">
        <v>2</v>
      </c>
      <c r="C21" s="74" t="s">
        <v>67</v>
      </c>
      <c r="D21" s="64">
        <v>17</v>
      </c>
      <c r="E21" s="64">
        <v>19</v>
      </c>
      <c r="F21" s="64">
        <v>19</v>
      </c>
      <c r="G21" s="64">
        <v>20</v>
      </c>
      <c r="H21" s="65"/>
      <c r="I21" s="65"/>
      <c r="J21" s="65"/>
      <c r="K21" s="65"/>
      <c r="L21" s="65"/>
      <c r="M21" s="65"/>
      <c r="N21" s="65"/>
      <c r="O21" s="65"/>
      <c r="P21" s="66">
        <f t="shared" si="0"/>
        <v>75</v>
      </c>
    </row>
    <row r="22" spans="1:16">
      <c r="A22" s="3">
        <v>20</v>
      </c>
      <c r="B22" s="3" t="s">
        <v>2</v>
      </c>
      <c r="C22" s="74" t="s">
        <v>68</v>
      </c>
      <c r="D22" s="64">
        <v>13</v>
      </c>
      <c r="E22" s="64">
        <v>28</v>
      </c>
      <c r="F22" s="64">
        <v>23</v>
      </c>
      <c r="G22" s="64">
        <v>16</v>
      </c>
      <c r="H22" s="65"/>
      <c r="I22" s="65"/>
      <c r="J22" s="65"/>
      <c r="K22" s="65"/>
      <c r="L22" s="65"/>
      <c r="M22" s="65"/>
      <c r="N22" s="65"/>
      <c r="O22" s="65"/>
      <c r="P22" s="66">
        <f t="shared" si="0"/>
        <v>80</v>
      </c>
    </row>
    <row r="23" spans="1:16">
      <c r="A23" s="3">
        <v>21</v>
      </c>
      <c r="B23" s="3" t="s">
        <v>2</v>
      </c>
      <c r="C23" s="74" t="s">
        <v>69</v>
      </c>
      <c r="D23" s="64">
        <v>22</v>
      </c>
      <c r="E23" s="64">
        <v>17</v>
      </c>
      <c r="F23" s="64">
        <v>18</v>
      </c>
      <c r="G23" s="64">
        <v>18</v>
      </c>
      <c r="H23" s="65"/>
      <c r="I23" s="65"/>
      <c r="J23" s="65"/>
      <c r="K23" s="65"/>
      <c r="L23" s="65"/>
      <c r="M23" s="65"/>
      <c r="N23" s="65"/>
      <c r="O23" s="65"/>
      <c r="P23" s="66">
        <f t="shared" si="0"/>
        <v>75</v>
      </c>
    </row>
    <row r="24" spans="1:16">
      <c r="A24" s="3">
        <v>22</v>
      </c>
      <c r="B24" s="3" t="s">
        <v>2</v>
      </c>
      <c r="C24" s="74" t="s">
        <v>70</v>
      </c>
      <c r="D24" s="64">
        <v>26</v>
      </c>
      <c r="E24" s="64">
        <v>24</v>
      </c>
      <c r="F24" s="64">
        <v>16</v>
      </c>
      <c r="G24" s="64">
        <v>11</v>
      </c>
      <c r="H24" s="65"/>
      <c r="I24" s="65"/>
      <c r="J24" s="65"/>
      <c r="K24" s="65"/>
      <c r="L24" s="65"/>
      <c r="M24" s="65"/>
      <c r="N24" s="65"/>
      <c r="O24" s="65"/>
      <c r="P24" s="66">
        <f t="shared" si="0"/>
        <v>77</v>
      </c>
    </row>
    <row r="25" spans="1:16">
      <c r="A25" s="3">
        <v>23</v>
      </c>
      <c r="B25" s="3" t="s">
        <v>2</v>
      </c>
      <c r="C25" s="74" t="s">
        <v>71</v>
      </c>
      <c r="D25" s="64">
        <v>18</v>
      </c>
      <c r="E25" s="64">
        <v>12</v>
      </c>
      <c r="F25" s="64">
        <v>12</v>
      </c>
      <c r="G25" s="64">
        <v>27</v>
      </c>
      <c r="H25" s="65"/>
      <c r="I25" s="65"/>
      <c r="J25" s="65"/>
      <c r="K25" s="65"/>
      <c r="L25" s="65"/>
      <c r="M25" s="65"/>
      <c r="N25" s="65"/>
      <c r="O25" s="65"/>
      <c r="P25" s="66">
        <f t="shared" si="0"/>
        <v>69</v>
      </c>
    </row>
    <row r="26" spans="1:16">
      <c r="A26" s="3">
        <v>24</v>
      </c>
      <c r="B26" s="3" t="s">
        <v>2</v>
      </c>
      <c r="C26" s="74" t="s">
        <v>72</v>
      </c>
      <c r="D26" s="64">
        <v>12</v>
      </c>
      <c r="E26" s="64">
        <v>16</v>
      </c>
      <c r="F26" s="64">
        <v>11</v>
      </c>
      <c r="G26" s="64">
        <v>15</v>
      </c>
      <c r="H26" s="65"/>
      <c r="I26" s="65"/>
      <c r="J26" s="65"/>
      <c r="K26" s="65"/>
      <c r="L26" s="65"/>
      <c r="M26" s="65"/>
      <c r="N26" s="65"/>
      <c r="O26" s="65"/>
      <c r="P26" s="66">
        <f t="shared" si="0"/>
        <v>54</v>
      </c>
    </row>
    <row r="27" spans="1:16">
      <c r="A27" s="3">
        <v>25</v>
      </c>
      <c r="B27" s="3" t="s">
        <v>2</v>
      </c>
      <c r="C27" s="74" t="s">
        <v>73</v>
      </c>
      <c r="D27" s="64">
        <v>6</v>
      </c>
      <c r="E27" s="64">
        <v>11</v>
      </c>
      <c r="F27" s="64">
        <v>17</v>
      </c>
      <c r="G27" s="64">
        <v>17</v>
      </c>
      <c r="H27" s="65"/>
      <c r="I27" s="65"/>
      <c r="J27" s="65"/>
      <c r="K27" s="65"/>
      <c r="L27" s="65"/>
      <c r="M27" s="65"/>
      <c r="N27" s="65"/>
      <c r="O27" s="65"/>
      <c r="P27" s="66">
        <f t="shared" si="0"/>
        <v>51</v>
      </c>
    </row>
    <row r="28" spans="1:16">
      <c r="A28" s="3">
        <v>26</v>
      </c>
      <c r="B28" s="3" t="s">
        <v>2</v>
      </c>
      <c r="C28" s="74" t="s">
        <v>74</v>
      </c>
      <c r="D28" s="64">
        <v>16</v>
      </c>
      <c r="E28" s="64">
        <v>17</v>
      </c>
      <c r="F28" s="64">
        <v>12</v>
      </c>
      <c r="G28" s="64">
        <v>5</v>
      </c>
      <c r="H28" s="65"/>
      <c r="I28" s="65"/>
      <c r="J28" s="65"/>
      <c r="K28" s="65"/>
      <c r="L28" s="65"/>
      <c r="M28" s="65"/>
      <c r="N28" s="65"/>
      <c r="O28" s="65"/>
      <c r="P28" s="66">
        <f t="shared" si="0"/>
        <v>50</v>
      </c>
    </row>
    <row r="29" spans="1:16">
      <c r="A29" s="3">
        <v>27</v>
      </c>
      <c r="B29" s="3" t="s">
        <v>2</v>
      </c>
      <c r="C29" s="74" t="s">
        <v>75</v>
      </c>
      <c r="D29" s="64">
        <v>8</v>
      </c>
      <c r="E29" s="64">
        <v>15</v>
      </c>
      <c r="F29" s="64">
        <v>9</v>
      </c>
      <c r="G29" s="64">
        <v>17</v>
      </c>
      <c r="H29" s="65"/>
      <c r="I29" s="65"/>
      <c r="J29" s="65"/>
      <c r="K29" s="65"/>
      <c r="L29" s="65"/>
      <c r="M29" s="65"/>
      <c r="N29" s="65"/>
      <c r="O29" s="65"/>
      <c r="P29" s="66">
        <f t="shared" si="0"/>
        <v>49</v>
      </c>
    </row>
    <row r="30" spans="1:16">
      <c r="A30" s="3">
        <v>28</v>
      </c>
      <c r="B30" s="3" t="s">
        <v>2</v>
      </c>
      <c r="C30" s="74" t="s">
        <v>76</v>
      </c>
      <c r="D30" s="64">
        <v>10</v>
      </c>
      <c r="E30" s="64">
        <v>10</v>
      </c>
      <c r="F30" s="64">
        <v>12</v>
      </c>
      <c r="G30" s="64">
        <v>15</v>
      </c>
      <c r="H30" s="65"/>
      <c r="I30" s="65"/>
      <c r="J30" s="65"/>
      <c r="K30" s="65"/>
      <c r="L30" s="65"/>
      <c r="M30" s="65"/>
      <c r="N30" s="65"/>
      <c r="O30" s="65"/>
      <c r="P30" s="66">
        <f t="shared" si="0"/>
        <v>47</v>
      </c>
    </row>
    <row r="31" spans="1:16">
      <c r="A31" s="3">
        <v>29</v>
      </c>
      <c r="B31" s="3" t="s">
        <v>2</v>
      </c>
      <c r="C31" s="74" t="s">
        <v>77</v>
      </c>
      <c r="D31" s="64">
        <v>10</v>
      </c>
      <c r="E31" s="64">
        <v>12</v>
      </c>
      <c r="F31" s="64">
        <v>17</v>
      </c>
      <c r="G31" s="64">
        <v>5</v>
      </c>
      <c r="H31" s="65"/>
      <c r="I31" s="65"/>
      <c r="J31" s="65"/>
      <c r="K31" s="65"/>
      <c r="L31" s="65"/>
      <c r="M31" s="65"/>
      <c r="N31" s="65"/>
      <c r="O31" s="65"/>
      <c r="P31" s="66">
        <f t="shared" si="0"/>
        <v>44</v>
      </c>
    </row>
    <row r="32" spans="1:16">
      <c r="A32" s="3">
        <v>30</v>
      </c>
      <c r="B32" s="3" t="s">
        <v>2</v>
      </c>
      <c r="C32" s="74" t="s">
        <v>78</v>
      </c>
      <c r="D32" s="64">
        <v>17</v>
      </c>
      <c r="E32" s="64">
        <v>11</v>
      </c>
      <c r="F32" s="64">
        <v>8</v>
      </c>
      <c r="G32" s="64">
        <v>7</v>
      </c>
      <c r="H32" s="65"/>
      <c r="I32" s="65"/>
      <c r="J32" s="65"/>
      <c r="K32" s="65"/>
      <c r="L32" s="65"/>
      <c r="M32" s="65"/>
      <c r="N32" s="65"/>
      <c r="O32" s="65"/>
      <c r="P32" s="66">
        <f t="shared" si="0"/>
        <v>43</v>
      </c>
    </row>
    <row r="33" spans="1:16">
      <c r="A33" s="3">
        <v>31</v>
      </c>
      <c r="B33" s="3" t="s">
        <v>2</v>
      </c>
      <c r="C33" s="74" t="s">
        <v>79</v>
      </c>
      <c r="D33" s="64">
        <v>12</v>
      </c>
      <c r="E33" s="64">
        <v>12</v>
      </c>
      <c r="F33" s="64">
        <v>10</v>
      </c>
      <c r="G33" s="64">
        <v>8</v>
      </c>
      <c r="H33" s="65"/>
      <c r="I33" s="65"/>
      <c r="J33" s="65"/>
      <c r="K33" s="65"/>
      <c r="L33" s="65"/>
      <c r="M33" s="65"/>
      <c r="N33" s="65"/>
      <c r="O33" s="65"/>
      <c r="P33" s="66">
        <f t="shared" si="0"/>
        <v>42</v>
      </c>
    </row>
    <row r="34" spans="1:16">
      <c r="A34" s="3">
        <v>32</v>
      </c>
      <c r="B34" s="3" t="s">
        <v>2</v>
      </c>
      <c r="C34" s="74" t="s">
        <v>80</v>
      </c>
      <c r="D34" s="64">
        <v>9</v>
      </c>
      <c r="E34" s="64">
        <v>8</v>
      </c>
      <c r="F34" s="64">
        <v>10</v>
      </c>
      <c r="G34" s="64">
        <v>11</v>
      </c>
      <c r="H34" s="65"/>
      <c r="I34" s="65"/>
      <c r="J34" s="65"/>
      <c r="K34" s="65"/>
      <c r="L34" s="65"/>
      <c r="M34" s="65"/>
      <c r="N34" s="65"/>
      <c r="O34" s="65"/>
      <c r="P34" s="66">
        <f t="shared" si="0"/>
        <v>38</v>
      </c>
    </row>
    <row r="35" spans="1:16">
      <c r="A35" s="3">
        <v>33</v>
      </c>
      <c r="B35" s="3" t="s">
        <v>2</v>
      </c>
      <c r="C35" s="74" t="s">
        <v>81</v>
      </c>
      <c r="D35" s="64">
        <v>6</v>
      </c>
      <c r="E35" s="64">
        <v>7</v>
      </c>
      <c r="F35" s="64">
        <v>10</v>
      </c>
      <c r="G35" s="64">
        <v>15</v>
      </c>
      <c r="H35" s="65"/>
      <c r="I35" s="65"/>
      <c r="J35" s="65"/>
      <c r="K35" s="65"/>
      <c r="L35" s="65"/>
      <c r="M35" s="65"/>
      <c r="N35" s="65"/>
      <c r="O35" s="65"/>
      <c r="P35" s="66">
        <f t="shared" si="0"/>
        <v>38</v>
      </c>
    </row>
    <row r="36" spans="1:16">
      <c r="A36" s="3">
        <v>34</v>
      </c>
      <c r="B36" s="3" t="s">
        <v>2</v>
      </c>
      <c r="C36" s="74" t="s">
        <v>82</v>
      </c>
      <c r="D36" s="64">
        <v>8</v>
      </c>
      <c r="E36" s="64">
        <v>7</v>
      </c>
      <c r="F36" s="64">
        <v>9</v>
      </c>
      <c r="G36" s="64">
        <v>12</v>
      </c>
      <c r="H36" s="65"/>
      <c r="I36" s="65"/>
      <c r="J36" s="65"/>
      <c r="K36" s="65"/>
      <c r="L36" s="65"/>
      <c r="M36" s="65"/>
      <c r="N36" s="65"/>
      <c r="O36" s="65"/>
      <c r="P36" s="66">
        <f t="shared" si="0"/>
        <v>36</v>
      </c>
    </row>
    <row r="37" spans="1:16">
      <c r="A37" s="3">
        <v>35</v>
      </c>
      <c r="B37" s="3" t="s">
        <v>2</v>
      </c>
      <c r="C37" s="74" t="s">
        <v>83</v>
      </c>
      <c r="D37" s="64">
        <v>6</v>
      </c>
      <c r="E37" s="64">
        <v>11</v>
      </c>
      <c r="F37" s="64">
        <v>7</v>
      </c>
      <c r="G37" s="64">
        <v>10</v>
      </c>
      <c r="H37" s="65"/>
      <c r="I37" s="65"/>
      <c r="J37" s="65"/>
      <c r="K37" s="65"/>
      <c r="L37" s="65"/>
      <c r="M37" s="65"/>
      <c r="N37" s="65"/>
      <c r="O37" s="65"/>
      <c r="P37" s="66">
        <f t="shared" si="0"/>
        <v>34</v>
      </c>
    </row>
    <row r="38" spans="1:16">
      <c r="A38" s="3">
        <v>36</v>
      </c>
      <c r="B38" s="3" t="s">
        <v>2</v>
      </c>
      <c r="C38" s="74" t="s">
        <v>84</v>
      </c>
      <c r="D38" s="64">
        <v>8</v>
      </c>
      <c r="E38" s="64">
        <v>7</v>
      </c>
      <c r="F38" s="64">
        <v>9</v>
      </c>
      <c r="G38" s="64">
        <v>8</v>
      </c>
      <c r="H38" s="65"/>
      <c r="I38" s="65"/>
      <c r="J38" s="65"/>
      <c r="K38" s="65"/>
      <c r="L38" s="65"/>
      <c r="M38" s="65"/>
      <c r="N38" s="65"/>
      <c r="O38" s="65"/>
      <c r="P38" s="66">
        <f t="shared" si="0"/>
        <v>32</v>
      </c>
    </row>
    <row r="39" spans="1:16">
      <c r="A39" s="3">
        <v>37</v>
      </c>
      <c r="B39" s="3" t="s">
        <v>2</v>
      </c>
      <c r="C39" s="74" t="s">
        <v>85</v>
      </c>
      <c r="D39" s="64">
        <v>7</v>
      </c>
      <c r="E39" s="64">
        <v>10</v>
      </c>
      <c r="F39" s="64">
        <v>8</v>
      </c>
      <c r="G39" s="64">
        <v>5</v>
      </c>
      <c r="H39" s="65"/>
      <c r="I39" s="65"/>
      <c r="J39" s="65"/>
      <c r="K39" s="65"/>
      <c r="L39" s="65"/>
      <c r="M39" s="65"/>
      <c r="N39" s="65"/>
      <c r="O39" s="65"/>
      <c r="P39" s="66">
        <f t="shared" si="0"/>
        <v>30</v>
      </c>
    </row>
    <row r="40" spans="1:16">
      <c r="A40" s="3">
        <v>38</v>
      </c>
      <c r="B40" s="3" t="s">
        <v>2</v>
      </c>
      <c r="C40" s="74" t="s">
        <v>86</v>
      </c>
      <c r="D40" s="64">
        <v>8</v>
      </c>
      <c r="E40" s="64">
        <v>4</v>
      </c>
      <c r="F40" s="64">
        <v>10</v>
      </c>
      <c r="G40" s="64">
        <v>7</v>
      </c>
      <c r="H40" s="65"/>
      <c r="I40" s="65"/>
      <c r="J40" s="65"/>
      <c r="K40" s="65"/>
      <c r="L40" s="65"/>
      <c r="M40" s="65"/>
      <c r="N40" s="65"/>
      <c r="O40" s="65"/>
      <c r="P40" s="66">
        <f t="shared" si="0"/>
        <v>29</v>
      </c>
    </row>
    <row r="41" spans="1:16">
      <c r="A41" s="3">
        <v>39</v>
      </c>
      <c r="B41" s="3" t="s">
        <v>2</v>
      </c>
      <c r="C41" s="74" t="s">
        <v>87</v>
      </c>
      <c r="D41" s="64">
        <v>9</v>
      </c>
      <c r="E41" s="64">
        <v>12</v>
      </c>
      <c r="F41" s="64">
        <v>2</v>
      </c>
      <c r="G41" s="64">
        <v>2</v>
      </c>
      <c r="H41" s="65"/>
      <c r="I41" s="65"/>
      <c r="J41" s="65"/>
      <c r="K41" s="65"/>
      <c r="L41" s="65"/>
      <c r="M41" s="65"/>
      <c r="N41" s="65"/>
      <c r="O41" s="65"/>
      <c r="P41" s="66">
        <f t="shared" si="0"/>
        <v>25</v>
      </c>
    </row>
    <row r="42" spans="1:16">
      <c r="A42" s="3">
        <v>40</v>
      </c>
      <c r="B42" s="3" t="s">
        <v>2</v>
      </c>
      <c r="C42" s="74" t="s">
        <v>88</v>
      </c>
      <c r="D42" s="64">
        <v>5</v>
      </c>
      <c r="E42" s="64">
        <v>7</v>
      </c>
      <c r="F42" s="64">
        <v>6</v>
      </c>
      <c r="G42" s="64">
        <v>5</v>
      </c>
      <c r="H42" s="65"/>
      <c r="I42" s="65"/>
      <c r="J42" s="65"/>
      <c r="K42" s="65"/>
      <c r="L42" s="65"/>
      <c r="M42" s="65"/>
      <c r="N42" s="65"/>
      <c r="O42" s="65"/>
      <c r="P42" s="66">
        <f t="shared" si="0"/>
        <v>23</v>
      </c>
    </row>
    <row r="43" spans="1:16">
      <c r="A43" s="3">
        <v>41</v>
      </c>
      <c r="B43" s="3" t="s">
        <v>2</v>
      </c>
      <c r="C43" s="74" t="s">
        <v>89</v>
      </c>
      <c r="D43" s="64">
        <v>15</v>
      </c>
      <c r="E43" s="64">
        <v>2</v>
      </c>
      <c r="F43" s="64">
        <v>6</v>
      </c>
      <c r="G43" s="64">
        <v>1</v>
      </c>
      <c r="H43" s="65"/>
      <c r="I43" s="65"/>
      <c r="J43" s="65"/>
      <c r="K43" s="65"/>
      <c r="L43" s="65"/>
      <c r="M43" s="65"/>
      <c r="N43" s="65"/>
      <c r="O43" s="65"/>
      <c r="P43" s="66">
        <f t="shared" si="0"/>
        <v>24</v>
      </c>
    </row>
    <row r="44" spans="1:16">
      <c r="A44" s="3">
        <v>42</v>
      </c>
      <c r="B44" s="3" t="s">
        <v>2</v>
      </c>
      <c r="C44" s="74" t="s">
        <v>90</v>
      </c>
      <c r="D44" s="64">
        <v>4</v>
      </c>
      <c r="E44" s="64">
        <v>3</v>
      </c>
      <c r="F44" s="64">
        <v>7</v>
      </c>
      <c r="G44" s="64">
        <v>8</v>
      </c>
      <c r="H44" s="65"/>
      <c r="I44" s="65"/>
      <c r="J44" s="65"/>
      <c r="K44" s="65"/>
      <c r="L44" s="65"/>
      <c r="M44" s="65"/>
      <c r="N44" s="65"/>
      <c r="O44" s="65"/>
      <c r="P44" s="66">
        <f t="shared" si="0"/>
        <v>22</v>
      </c>
    </row>
    <row r="45" spans="1:16">
      <c r="A45" s="3">
        <v>43</v>
      </c>
      <c r="B45" s="3" t="s">
        <v>2</v>
      </c>
      <c r="C45" s="74" t="s">
        <v>91</v>
      </c>
      <c r="D45" s="64">
        <v>4</v>
      </c>
      <c r="E45" s="64">
        <v>5</v>
      </c>
      <c r="F45" s="64">
        <v>9</v>
      </c>
      <c r="G45" s="64">
        <v>3</v>
      </c>
      <c r="H45" s="65"/>
      <c r="I45" s="65"/>
      <c r="J45" s="65"/>
      <c r="K45" s="65"/>
      <c r="L45" s="65"/>
      <c r="M45" s="65"/>
      <c r="N45" s="65"/>
      <c r="O45" s="65"/>
      <c r="P45" s="66">
        <f t="shared" si="0"/>
        <v>21</v>
      </c>
    </row>
    <row r="46" spans="1:16">
      <c r="A46" s="3">
        <v>44</v>
      </c>
      <c r="B46" s="3" t="s">
        <v>2</v>
      </c>
      <c r="C46" s="74" t="s">
        <v>92</v>
      </c>
      <c r="D46" s="64">
        <v>6</v>
      </c>
      <c r="E46" s="64">
        <v>2</v>
      </c>
      <c r="F46" s="64">
        <v>3</v>
      </c>
      <c r="G46" s="64">
        <v>9</v>
      </c>
      <c r="H46" s="65"/>
      <c r="I46" s="65"/>
      <c r="J46" s="65"/>
      <c r="K46" s="65"/>
      <c r="L46" s="65"/>
      <c r="M46" s="65"/>
      <c r="N46" s="65"/>
      <c r="O46" s="65"/>
      <c r="P46" s="66">
        <f t="shared" si="0"/>
        <v>20</v>
      </c>
    </row>
    <row r="47" spans="1:16">
      <c r="A47" s="3">
        <v>45</v>
      </c>
      <c r="B47" s="3" t="s">
        <v>2</v>
      </c>
      <c r="C47" s="74" t="s">
        <v>93</v>
      </c>
      <c r="D47" s="64">
        <v>3</v>
      </c>
      <c r="E47" s="64">
        <v>3</v>
      </c>
      <c r="F47" s="64">
        <v>7</v>
      </c>
      <c r="G47" s="64">
        <v>6</v>
      </c>
      <c r="H47" s="65"/>
      <c r="I47" s="65"/>
      <c r="J47" s="65"/>
      <c r="K47" s="65"/>
      <c r="L47" s="65"/>
      <c r="M47" s="65"/>
      <c r="N47" s="65"/>
      <c r="O47" s="65"/>
      <c r="P47" s="66">
        <f t="shared" si="0"/>
        <v>19</v>
      </c>
    </row>
    <row r="48" spans="1:16">
      <c r="A48" s="3">
        <v>46</v>
      </c>
      <c r="B48" s="3" t="s">
        <v>2</v>
      </c>
      <c r="C48" s="74" t="s">
        <v>94</v>
      </c>
      <c r="D48" s="64">
        <v>2</v>
      </c>
      <c r="E48" s="64">
        <v>6</v>
      </c>
      <c r="F48" s="64">
        <v>4</v>
      </c>
      <c r="G48" s="64">
        <v>6</v>
      </c>
      <c r="H48" s="65"/>
      <c r="I48" s="65"/>
      <c r="J48" s="65"/>
      <c r="K48" s="65"/>
      <c r="L48" s="65"/>
      <c r="M48" s="65"/>
      <c r="N48" s="65"/>
      <c r="O48" s="65"/>
      <c r="P48" s="66">
        <f t="shared" si="0"/>
        <v>18</v>
      </c>
    </row>
    <row r="49" spans="1:16">
      <c r="A49" s="3">
        <v>47</v>
      </c>
      <c r="B49" s="3" t="s">
        <v>2</v>
      </c>
      <c r="C49" s="74" t="s">
        <v>95</v>
      </c>
      <c r="D49" s="64">
        <v>7</v>
      </c>
      <c r="E49" s="64">
        <v>3</v>
      </c>
      <c r="F49" s="64">
        <v>5</v>
      </c>
      <c r="G49" s="64">
        <v>3</v>
      </c>
      <c r="H49" s="65"/>
      <c r="I49" s="65"/>
      <c r="J49" s="65"/>
      <c r="K49" s="65"/>
      <c r="L49" s="65"/>
      <c r="M49" s="65"/>
      <c r="N49" s="65"/>
      <c r="O49" s="65"/>
      <c r="P49" s="66">
        <f t="shared" si="0"/>
        <v>18</v>
      </c>
    </row>
    <row r="50" spans="1:16">
      <c r="A50" s="3">
        <v>48</v>
      </c>
      <c r="B50" s="3" t="s">
        <v>2</v>
      </c>
      <c r="C50" s="74" t="s">
        <v>96</v>
      </c>
      <c r="D50" s="64">
        <v>5</v>
      </c>
      <c r="E50" s="64">
        <v>4</v>
      </c>
      <c r="F50" s="64">
        <v>4</v>
      </c>
      <c r="G50" s="64">
        <v>5</v>
      </c>
      <c r="H50" s="65"/>
      <c r="I50" s="65"/>
      <c r="J50" s="65"/>
      <c r="K50" s="65"/>
      <c r="L50" s="65"/>
      <c r="M50" s="65"/>
      <c r="N50" s="65"/>
      <c r="O50" s="65"/>
      <c r="P50" s="66">
        <f t="shared" si="0"/>
        <v>18</v>
      </c>
    </row>
    <row r="51" spans="1:16">
      <c r="A51" s="3">
        <v>49</v>
      </c>
      <c r="B51" s="3" t="s">
        <v>2</v>
      </c>
      <c r="C51" s="74" t="s">
        <v>97</v>
      </c>
      <c r="D51" s="64">
        <v>5</v>
      </c>
      <c r="E51" s="64">
        <v>4</v>
      </c>
      <c r="F51" s="64">
        <v>5</v>
      </c>
      <c r="G51" s="64">
        <v>3</v>
      </c>
      <c r="H51" s="65"/>
      <c r="I51" s="65"/>
      <c r="J51" s="65"/>
      <c r="K51" s="65"/>
      <c r="L51" s="65"/>
      <c r="M51" s="65"/>
      <c r="N51" s="65"/>
      <c r="O51" s="65"/>
      <c r="P51" s="66">
        <f t="shared" si="0"/>
        <v>17</v>
      </c>
    </row>
    <row r="52" spans="1:16">
      <c r="A52" s="3">
        <v>50</v>
      </c>
      <c r="B52" s="3" t="s">
        <v>2</v>
      </c>
      <c r="C52" s="74" t="s">
        <v>98</v>
      </c>
      <c r="D52" s="64">
        <v>1</v>
      </c>
      <c r="E52" s="64">
        <v>5</v>
      </c>
      <c r="F52" s="64">
        <v>4</v>
      </c>
      <c r="G52" s="64">
        <v>5</v>
      </c>
      <c r="H52" s="65"/>
      <c r="I52" s="65"/>
      <c r="J52" s="65"/>
      <c r="K52" s="65"/>
      <c r="L52" s="65"/>
      <c r="M52" s="65"/>
      <c r="N52" s="65"/>
      <c r="O52" s="65"/>
      <c r="P52" s="66">
        <f t="shared" si="0"/>
        <v>15</v>
      </c>
    </row>
    <row r="53" spans="1:16">
      <c r="A53" s="3">
        <v>51</v>
      </c>
      <c r="B53" s="3" t="s">
        <v>2</v>
      </c>
      <c r="C53" s="74" t="s">
        <v>99</v>
      </c>
      <c r="D53" s="64">
        <v>6</v>
      </c>
      <c r="E53" s="64">
        <v>2</v>
      </c>
      <c r="F53" s="64">
        <v>5</v>
      </c>
      <c r="G53" s="64"/>
      <c r="H53" s="65"/>
      <c r="I53" s="65"/>
      <c r="J53" s="65"/>
      <c r="K53" s="65"/>
      <c r="L53" s="65"/>
      <c r="M53" s="65"/>
      <c r="N53" s="65"/>
      <c r="O53" s="65"/>
      <c r="P53" s="66">
        <f t="shared" si="0"/>
        <v>13</v>
      </c>
    </row>
    <row r="54" spans="1:16">
      <c r="A54" s="3">
        <v>52</v>
      </c>
      <c r="B54" s="3" t="s">
        <v>2</v>
      </c>
      <c r="C54" s="74" t="s">
        <v>100</v>
      </c>
      <c r="D54" s="64">
        <v>3</v>
      </c>
      <c r="E54" s="64">
        <v>1</v>
      </c>
      <c r="F54" s="64">
        <v>3</v>
      </c>
      <c r="G54" s="64">
        <v>3</v>
      </c>
      <c r="H54" s="65"/>
      <c r="I54" s="65"/>
      <c r="J54" s="65"/>
      <c r="K54" s="65"/>
      <c r="L54" s="65"/>
      <c r="M54" s="65"/>
      <c r="N54" s="65"/>
      <c r="O54" s="65"/>
      <c r="P54" s="66">
        <f t="shared" si="0"/>
        <v>10</v>
      </c>
    </row>
    <row r="55" spans="1:16">
      <c r="A55" s="3">
        <v>53</v>
      </c>
      <c r="B55" s="3" t="s">
        <v>2</v>
      </c>
      <c r="C55" s="74" t="s">
        <v>101</v>
      </c>
      <c r="D55" s="64">
        <v>3</v>
      </c>
      <c r="E55" s="64">
        <v>3</v>
      </c>
      <c r="F55" s="64">
        <v>3</v>
      </c>
      <c r="G55" s="64"/>
      <c r="H55" s="65"/>
      <c r="I55" s="65"/>
      <c r="J55" s="65"/>
      <c r="K55" s="65"/>
      <c r="L55" s="65"/>
      <c r="M55" s="65"/>
      <c r="N55" s="65"/>
      <c r="O55" s="65"/>
      <c r="P55" s="66">
        <f t="shared" si="0"/>
        <v>9</v>
      </c>
    </row>
    <row r="56" spans="1:16">
      <c r="A56" s="3">
        <v>54</v>
      </c>
      <c r="B56" s="3" t="s">
        <v>2</v>
      </c>
      <c r="C56" s="74" t="s">
        <v>102</v>
      </c>
      <c r="D56" s="64">
        <v>2</v>
      </c>
      <c r="E56" s="64">
        <v>1</v>
      </c>
      <c r="F56" s="64"/>
      <c r="G56" s="64">
        <v>6</v>
      </c>
      <c r="H56" s="65"/>
      <c r="I56" s="65"/>
      <c r="J56" s="65"/>
      <c r="K56" s="65"/>
      <c r="L56" s="65"/>
      <c r="M56" s="65"/>
      <c r="N56" s="65"/>
      <c r="O56" s="65"/>
      <c r="P56" s="66">
        <f t="shared" si="0"/>
        <v>9</v>
      </c>
    </row>
    <row r="57" spans="1:16">
      <c r="A57" s="3">
        <v>55</v>
      </c>
      <c r="B57" s="3" t="s">
        <v>2</v>
      </c>
      <c r="C57" s="74" t="s">
        <v>103</v>
      </c>
      <c r="D57" s="64">
        <v>4</v>
      </c>
      <c r="E57" s="64">
        <v>1</v>
      </c>
      <c r="F57" s="64">
        <v>1</v>
      </c>
      <c r="G57" s="64">
        <v>2</v>
      </c>
      <c r="H57" s="65"/>
      <c r="I57" s="65"/>
      <c r="J57" s="65"/>
      <c r="K57" s="65"/>
      <c r="L57" s="65"/>
      <c r="M57" s="65"/>
      <c r="N57" s="65"/>
      <c r="O57" s="65"/>
      <c r="P57" s="66">
        <f t="shared" si="0"/>
        <v>8</v>
      </c>
    </row>
    <row r="58" spans="1:16">
      <c r="A58" s="3">
        <v>56</v>
      </c>
      <c r="B58" s="3" t="s">
        <v>2</v>
      </c>
      <c r="C58" s="74" t="s">
        <v>104</v>
      </c>
      <c r="D58" s="64"/>
      <c r="E58" s="64">
        <v>2</v>
      </c>
      <c r="F58" s="64">
        <v>5</v>
      </c>
      <c r="G58" s="64">
        <v>1</v>
      </c>
      <c r="H58" s="65"/>
      <c r="I58" s="65"/>
      <c r="J58" s="65"/>
      <c r="K58" s="65"/>
      <c r="L58" s="65"/>
      <c r="M58" s="65"/>
      <c r="N58" s="65"/>
      <c r="O58" s="65"/>
      <c r="P58" s="66">
        <f t="shared" si="0"/>
        <v>8</v>
      </c>
    </row>
    <row r="59" spans="1:16">
      <c r="A59" s="3">
        <v>57</v>
      </c>
      <c r="B59" s="3" t="s">
        <v>2</v>
      </c>
      <c r="C59" s="74" t="s">
        <v>105</v>
      </c>
      <c r="D59" s="64">
        <v>1</v>
      </c>
      <c r="E59" s="64">
        <v>1</v>
      </c>
      <c r="F59" s="64">
        <v>1</v>
      </c>
      <c r="G59" s="64">
        <v>4</v>
      </c>
      <c r="H59" s="65"/>
      <c r="I59" s="65"/>
      <c r="J59" s="65"/>
      <c r="K59" s="65"/>
      <c r="L59" s="65"/>
      <c r="M59" s="65"/>
      <c r="N59" s="65"/>
      <c r="O59" s="65"/>
      <c r="P59" s="66">
        <f t="shared" si="0"/>
        <v>7</v>
      </c>
    </row>
    <row r="60" spans="1:16">
      <c r="A60" s="3">
        <v>58</v>
      </c>
      <c r="B60" s="3" t="s">
        <v>2</v>
      </c>
      <c r="C60" s="74" t="s">
        <v>106</v>
      </c>
      <c r="D60" s="64">
        <v>2</v>
      </c>
      <c r="E60" s="64">
        <v>2</v>
      </c>
      <c r="F60" s="64">
        <v>2</v>
      </c>
      <c r="G60" s="64">
        <v>1</v>
      </c>
      <c r="H60" s="65"/>
      <c r="I60" s="65"/>
      <c r="J60" s="65"/>
      <c r="K60" s="65"/>
      <c r="L60" s="65"/>
      <c r="M60" s="65"/>
      <c r="N60" s="65"/>
      <c r="O60" s="65"/>
      <c r="P60" s="66">
        <f t="shared" si="0"/>
        <v>7</v>
      </c>
    </row>
    <row r="61" spans="1:16">
      <c r="A61" s="3">
        <v>59</v>
      </c>
      <c r="B61" s="3" t="s">
        <v>2</v>
      </c>
      <c r="C61" s="74" t="s">
        <v>107</v>
      </c>
      <c r="D61" s="64">
        <v>1</v>
      </c>
      <c r="E61" s="64">
        <v>1</v>
      </c>
      <c r="F61" s="64">
        <v>2</v>
      </c>
      <c r="G61" s="64">
        <v>1</v>
      </c>
      <c r="H61" s="65"/>
      <c r="I61" s="65"/>
      <c r="J61" s="65"/>
      <c r="K61" s="65"/>
      <c r="L61" s="65"/>
      <c r="M61" s="65"/>
      <c r="N61" s="65"/>
      <c r="O61" s="65"/>
      <c r="P61" s="66">
        <f t="shared" si="0"/>
        <v>5</v>
      </c>
    </row>
    <row r="62" spans="1:16">
      <c r="A62" s="3">
        <v>60</v>
      </c>
      <c r="B62" s="3" t="s">
        <v>2</v>
      </c>
      <c r="C62" s="74" t="s">
        <v>108</v>
      </c>
      <c r="D62" s="64"/>
      <c r="E62" s="64">
        <v>2</v>
      </c>
      <c r="F62" s="64">
        <v>2</v>
      </c>
      <c r="G62" s="64">
        <v>2</v>
      </c>
      <c r="H62" s="65"/>
      <c r="I62" s="65"/>
      <c r="J62" s="65"/>
      <c r="K62" s="65"/>
      <c r="L62" s="65"/>
      <c r="M62" s="65"/>
      <c r="N62" s="65"/>
      <c r="O62" s="65"/>
      <c r="P62" s="66">
        <f t="shared" si="0"/>
        <v>6</v>
      </c>
    </row>
    <row r="63" spans="1:16">
      <c r="A63" s="3">
        <v>61</v>
      </c>
      <c r="B63" s="3" t="s">
        <v>2</v>
      </c>
      <c r="C63" s="74" t="s">
        <v>109</v>
      </c>
      <c r="D63" s="64">
        <v>1</v>
      </c>
      <c r="E63" s="64">
        <v>3</v>
      </c>
      <c r="F63" s="64">
        <v>1</v>
      </c>
      <c r="G63" s="64">
        <v>1</v>
      </c>
      <c r="H63" s="65"/>
      <c r="I63" s="65"/>
      <c r="J63" s="65"/>
      <c r="K63" s="65"/>
      <c r="L63" s="65"/>
      <c r="M63" s="65"/>
      <c r="N63" s="65"/>
      <c r="O63" s="65"/>
      <c r="P63" s="66">
        <f t="shared" si="0"/>
        <v>6</v>
      </c>
    </row>
    <row r="64" spans="1:16">
      <c r="A64" s="3">
        <v>62</v>
      </c>
      <c r="B64" s="3" t="s">
        <v>2</v>
      </c>
      <c r="C64" s="74" t="s">
        <v>110</v>
      </c>
      <c r="D64" s="64">
        <v>2</v>
      </c>
      <c r="E64" s="64">
        <v>1</v>
      </c>
      <c r="F64" s="64">
        <v>2</v>
      </c>
      <c r="G64" s="64"/>
      <c r="H64" s="65"/>
      <c r="I64" s="65"/>
      <c r="J64" s="65"/>
      <c r="K64" s="65"/>
      <c r="L64" s="65"/>
      <c r="M64" s="65"/>
      <c r="N64" s="65"/>
      <c r="O64" s="65"/>
      <c r="P64" s="66">
        <f t="shared" si="0"/>
        <v>5</v>
      </c>
    </row>
    <row r="65" spans="1:16">
      <c r="A65" s="3">
        <v>63</v>
      </c>
      <c r="B65" s="3" t="s">
        <v>2</v>
      </c>
      <c r="C65" s="74" t="s">
        <v>111</v>
      </c>
      <c r="D65" s="64">
        <v>2</v>
      </c>
      <c r="E65" s="64">
        <v>1</v>
      </c>
      <c r="F65" s="64">
        <v>2</v>
      </c>
      <c r="G65" s="64"/>
      <c r="H65" s="65"/>
      <c r="I65" s="65"/>
      <c r="J65" s="65"/>
      <c r="K65" s="65"/>
      <c r="L65" s="65"/>
      <c r="M65" s="65"/>
      <c r="N65" s="65"/>
      <c r="O65" s="65"/>
      <c r="P65" s="66">
        <f t="shared" si="0"/>
        <v>5</v>
      </c>
    </row>
    <row r="66" spans="1:16">
      <c r="A66" s="3">
        <v>64</v>
      </c>
      <c r="B66" s="3" t="s">
        <v>2</v>
      </c>
      <c r="C66" s="74" t="s">
        <v>112</v>
      </c>
      <c r="D66" s="64">
        <v>1</v>
      </c>
      <c r="E66" s="64">
        <v>2</v>
      </c>
      <c r="F66" s="64">
        <v>1</v>
      </c>
      <c r="G66" s="64">
        <v>1</v>
      </c>
      <c r="H66" s="65"/>
      <c r="I66" s="65"/>
      <c r="J66" s="65"/>
      <c r="K66" s="65"/>
      <c r="L66" s="65"/>
      <c r="M66" s="65"/>
      <c r="N66" s="65"/>
      <c r="O66" s="65"/>
      <c r="P66" s="66">
        <f t="shared" si="0"/>
        <v>5</v>
      </c>
    </row>
    <row r="67" spans="1:16">
      <c r="A67" s="3">
        <v>65</v>
      </c>
      <c r="B67" s="3" t="s">
        <v>2</v>
      </c>
      <c r="C67" s="74" t="s">
        <v>113</v>
      </c>
      <c r="D67" s="64">
        <v>2</v>
      </c>
      <c r="E67" s="64"/>
      <c r="F67" s="64"/>
      <c r="G67" s="64">
        <v>1</v>
      </c>
      <c r="H67" s="65"/>
      <c r="I67" s="65"/>
      <c r="J67" s="65"/>
      <c r="K67" s="65"/>
      <c r="L67" s="65"/>
      <c r="M67" s="65"/>
      <c r="N67" s="65"/>
      <c r="O67" s="65"/>
      <c r="P67" s="66">
        <f t="shared" si="0"/>
        <v>3</v>
      </c>
    </row>
    <row r="68" spans="1:16">
      <c r="A68" s="3">
        <v>66</v>
      </c>
      <c r="B68" s="3" t="s">
        <v>2</v>
      </c>
      <c r="C68" s="74" t="s">
        <v>114</v>
      </c>
      <c r="D68" s="64">
        <v>1</v>
      </c>
      <c r="E68" s="64">
        <v>1</v>
      </c>
      <c r="F68" s="64">
        <v>1</v>
      </c>
      <c r="G68" s="64">
        <v>1</v>
      </c>
      <c r="H68" s="65"/>
      <c r="I68" s="65"/>
      <c r="J68" s="65"/>
      <c r="K68" s="65"/>
      <c r="L68" s="65"/>
      <c r="M68" s="65"/>
      <c r="N68" s="65"/>
      <c r="O68" s="65"/>
      <c r="P68" s="66">
        <f t="shared" ref="P68:P97" si="1">SUM(D68:O68)</f>
        <v>4</v>
      </c>
    </row>
    <row r="69" spans="1:16">
      <c r="A69" s="3">
        <v>67</v>
      </c>
      <c r="B69" s="3" t="s">
        <v>2</v>
      </c>
      <c r="C69" s="74" t="s">
        <v>115</v>
      </c>
      <c r="D69" s="64">
        <v>1</v>
      </c>
      <c r="E69" s="64">
        <v>2</v>
      </c>
      <c r="F69" s="64">
        <v>1</v>
      </c>
      <c r="G69" s="64"/>
      <c r="H69" s="65"/>
      <c r="I69" s="65"/>
      <c r="J69" s="65"/>
      <c r="K69" s="65"/>
      <c r="L69" s="65"/>
      <c r="M69" s="65"/>
      <c r="N69" s="65"/>
      <c r="O69" s="65"/>
      <c r="P69" s="66">
        <f t="shared" si="1"/>
        <v>4</v>
      </c>
    </row>
    <row r="70" spans="1:16">
      <c r="A70" s="3">
        <v>68</v>
      </c>
      <c r="B70" s="3" t="s">
        <v>2</v>
      </c>
      <c r="C70" s="74" t="s">
        <v>116</v>
      </c>
      <c r="D70" s="64">
        <v>2</v>
      </c>
      <c r="E70" s="64"/>
      <c r="F70" s="64">
        <v>2</v>
      </c>
      <c r="G70" s="64"/>
      <c r="H70" s="65"/>
      <c r="I70" s="65"/>
      <c r="J70" s="65"/>
      <c r="K70" s="65"/>
      <c r="L70" s="65"/>
      <c r="M70" s="65"/>
      <c r="N70" s="65"/>
      <c r="O70" s="65"/>
      <c r="P70" s="66">
        <f t="shared" si="1"/>
        <v>4</v>
      </c>
    </row>
    <row r="71" spans="1:16">
      <c r="A71" s="3">
        <v>69</v>
      </c>
      <c r="B71" s="3" t="s">
        <v>2</v>
      </c>
      <c r="C71" s="74" t="s">
        <v>117</v>
      </c>
      <c r="D71" s="64">
        <v>2</v>
      </c>
      <c r="E71" s="64"/>
      <c r="F71" s="64"/>
      <c r="G71" s="64"/>
      <c r="H71" s="65"/>
      <c r="I71" s="65"/>
      <c r="J71" s="65"/>
      <c r="K71" s="65"/>
      <c r="L71" s="65"/>
      <c r="M71" s="65"/>
      <c r="N71" s="65"/>
      <c r="O71" s="65"/>
      <c r="P71" s="66">
        <f t="shared" si="1"/>
        <v>2</v>
      </c>
    </row>
    <row r="72" spans="1:16">
      <c r="A72" s="3">
        <v>70</v>
      </c>
      <c r="B72" s="3" t="s">
        <v>2</v>
      </c>
      <c r="C72" s="74" t="s">
        <v>118</v>
      </c>
      <c r="D72" s="64"/>
      <c r="E72" s="64">
        <v>2</v>
      </c>
      <c r="F72" s="64">
        <v>1</v>
      </c>
      <c r="G72" s="64"/>
      <c r="H72" s="65"/>
      <c r="I72" s="65"/>
      <c r="J72" s="65"/>
      <c r="K72" s="65"/>
      <c r="L72" s="65"/>
      <c r="M72" s="65"/>
      <c r="N72" s="65"/>
      <c r="O72" s="65"/>
      <c r="P72" s="66">
        <f t="shared" si="1"/>
        <v>3</v>
      </c>
    </row>
    <row r="73" spans="1:16">
      <c r="A73" s="3">
        <v>71</v>
      </c>
      <c r="B73" s="3" t="s">
        <v>2</v>
      </c>
      <c r="C73" s="74" t="s">
        <v>119</v>
      </c>
      <c r="D73" s="64">
        <v>1</v>
      </c>
      <c r="E73" s="64"/>
      <c r="F73" s="64">
        <v>1</v>
      </c>
      <c r="G73" s="64">
        <v>1</v>
      </c>
      <c r="H73" s="65"/>
      <c r="I73" s="65"/>
      <c r="J73" s="65"/>
      <c r="K73" s="65"/>
      <c r="L73" s="65"/>
      <c r="M73" s="65"/>
      <c r="N73" s="65"/>
      <c r="O73" s="65"/>
      <c r="P73" s="66">
        <f t="shared" si="1"/>
        <v>3</v>
      </c>
    </row>
    <row r="74" spans="1:16">
      <c r="A74" s="3">
        <v>72</v>
      </c>
      <c r="B74" s="3" t="s">
        <v>2</v>
      </c>
      <c r="C74" s="74" t="s">
        <v>120</v>
      </c>
      <c r="D74" s="64">
        <v>1</v>
      </c>
      <c r="E74" s="64"/>
      <c r="F74" s="64"/>
      <c r="G74" s="64">
        <v>2</v>
      </c>
      <c r="H74" s="65"/>
      <c r="I74" s="65"/>
      <c r="J74" s="65"/>
      <c r="K74" s="65"/>
      <c r="L74" s="65"/>
      <c r="M74" s="65"/>
      <c r="N74" s="65"/>
      <c r="O74" s="65"/>
      <c r="P74" s="66">
        <f t="shared" si="1"/>
        <v>3</v>
      </c>
    </row>
    <row r="75" spans="1:16">
      <c r="A75" s="3">
        <v>73</v>
      </c>
      <c r="B75" s="3" t="s">
        <v>2</v>
      </c>
      <c r="C75" s="74" t="s">
        <v>121</v>
      </c>
      <c r="D75" s="64">
        <v>1</v>
      </c>
      <c r="E75" s="64"/>
      <c r="F75" s="64">
        <v>2</v>
      </c>
      <c r="G75" s="64"/>
      <c r="H75" s="65"/>
      <c r="I75" s="65"/>
      <c r="J75" s="65"/>
      <c r="K75" s="65"/>
      <c r="L75" s="65"/>
      <c r="M75" s="65"/>
      <c r="N75" s="65"/>
      <c r="O75" s="65"/>
      <c r="P75" s="66">
        <f t="shared" si="1"/>
        <v>3</v>
      </c>
    </row>
    <row r="76" spans="1:16">
      <c r="A76" s="3">
        <v>74</v>
      </c>
      <c r="B76" s="3" t="s">
        <v>2</v>
      </c>
      <c r="C76" s="74" t="s">
        <v>122</v>
      </c>
      <c r="D76" s="64"/>
      <c r="E76" s="64"/>
      <c r="F76" s="64"/>
      <c r="G76" s="64">
        <v>2</v>
      </c>
      <c r="H76" s="65"/>
      <c r="I76" s="65"/>
      <c r="J76" s="65"/>
      <c r="K76" s="65"/>
      <c r="L76" s="65"/>
      <c r="M76" s="65"/>
      <c r="N76" s="65"/>
      <c r="O76" s="65"/>
      <c r="P76" s="66">
        <f t="shared" si="1"/>
        <v>2</v>
      </c>
    </row>
    <row r="77" spans="1:16">
      <c r="A77" s="3">
        <v>75</v>
      </c>
      <c r="B77" s="3" t="s">
        <v>2</v>
      </c>
      <c r="C77" s="74" t="s">
        <v>123</v>
      </c>
      <c r="D77" s="64">
        <v>2</v>
      </c>
      <c r="E77" s="64"/>
      <c r="F77" s="64"/>
      <c r="G77" s="64"/>
      <c r="H77" s="65"/>
      <c r="I77" s="65"/>
      <c r="J77" s="65"/>
      <c r="K77" s="65"/>
      <c r="L77" s="65"/>
      <c r="M77" s="65"/>
      <c r="N77" s="65"/>
      <c r="O77" s="65"/>
      <c r="P77" s="66">
        <f t="shared" si="1"/>
        <v>2</v>
      </c>
    </row>
    <row r="78" spans="1:16">
      <c r="A78" s="3">
        <v>76</v>
      </c>
      <c r="B78" s="3" t="s">
        <v>2</v>
      </c>
      <c r="C78" s="75" t="s">
        <v>124</v>
      </c>
      <c r="D78" s="68"/>
      <c r="E78" s="68">
        <v>2</v>
      </c>
      <c r="F78" s="68"/>
      <c r="G78" s="68"/>
      <c r="H78" s="65"/>
      <c r="I78" s="65"/>
      <c r="J78" s="65"/>
      <c r="K78" s="65"/>
      <c r="L78" s="65"/>
      <c r="M78" s="65"/>
      <c r="N78" s="65"/>
      <c r="O78" s="65"/>
      <c r="P78" s="66">
        <f t="shared" si="1"/>
        <v>2</v>
      </c>
    </row>
    <row r="79" spans="1:16">
      <c r="A79" s="3">
        <v>77</v>
      </c>
      <c r="B79" s="3" t="s">
        <v>2</v>
      </c>
      <c r="C79" s="74" t="s">
        <v>125</v>
      </c>
      <c r="D79" s="64"/>
      <c r="E79" s="64"/>
      <c r="F79" s="64">
        <v>2</v>
      </c>
      <c r="G79" s="64"/>
      <c r="H79" s="65"/>
      <c r="I79" s="65"/>
      <c r="J79" s="65"/>
      <c r="K79" s="65"/>
      <c r="L79" s="65"/>
      <c r="M79" s="65"/>
      <c r="N79" s="65"/>
      <c r="O79" s="65"/>
      <c r="P79" s="66">
        <f t="shared" si="1"/>
        <v>2</v>
      </c>
    </row>
    <row r="80" spans="1:16">
      <c r="A80" s="3">
        <v>78</v>
      </c>
      <c r="B80" s="3" t="s">
        <v>2</v>
      </c>
      <c r="C80" s="74" t="s">
        <v>126</v>
      </c>
      <c r="D80" s="64"/>
      <c r="E80" s="64"/>
      <c r="F80" s="64"/>
      <c r="G80" s="64">
        <v>1</v>
      </c>
      <c r="H80" s="65"/>
      <c r="I80" s="65"/>
      <c r="J80" s="65"/>
      <c r="K80" s="65"/>
      <c r="L80" s="65"/>
      <c r="M80" s="65"/>
      <c r="N80" s="65"/>
      <c r="O80" s="65"/>
      <c r="P80" s="66">
        <f t="shared" si="1"/>
        <v>1</v>
      </c>
    </row>
    <row r="81" spans="1:16">
      <c r="A81" s="67">
        <v>79</v>
      </c>
      <c r="B81" s="3" t="s">
        <v>2</v>
      </c>
      <c r="C81" s="74" t="s">
        <v>127</v>
      </c>
      <c r="D81" s="64">
        <v>1</v>
      </c>
      <c r="E81" s="64"/>
      <c r="F81" s="64"/>
      <c r="G81" s="64">
        <v>1</v>
      </c>
      <c r="H81" s="65"/>
      <c r="I81" s="65"/>
      <c r="J81" s="65"/>
      <c r="K81" s="65"/>
      <c r="L81" s="65"/>
      <c r="M81" s="65"/>
      <c r="N81" s="65"/>
      <c r="O81" s="65"/>
      <c r="P81" s="66">
        <f t="shared" si="1"/>
        <v>2</v>
      </c>
    </row>
    <row r="82" spans="1:16">
      <c r="A82" s="3">
        <v>80</v>
      </c>
      <c r="B82" s="3" t="s">
        <v>2</v>
      </c>
      <c r="C82" s="74" t="s">
        <v>128</v>
      </c>
      <c r="D82" s="64"/>
      <c r="E82" s="64">
        <v>1</v>
      </c>
      <c r="F82" s="64"/>
      <c r="G82" s="64">
        <v>1</v>
      </c>
      <c r="H82" s="65"/>
      <c r="I82" s="65"/>
      <c r="J82" s="65"/>
      <c r="K82" s="65"/>
      <c r="L82" s="65"/>
      <c r="M82" s="65"/>
      <c r="N82" s="65"/>
      <c r="O82" s="65"/>
      <c r="P82" s="66">
        <f t="shared" si="1"/>
        <v>2</v>
      </c>
    </row>
    <row r="83" spans="1:16">
      <c r="A83" s="3">
        <v>81</v>
      </c>
      <c r="B83" s="3" t="s">
        <v>2</v>
      </c>
      <c r="C83" s="74" t="s">
        <v>129</v>
      </c>
      <c r="D83" s="64"/>
      <c r="E83" s="64">
        <v>1</v>
      </c>
      <c r="F83" s="64"/>
      <c r="G83" s="64"/>
      <c r="H83" s="65"/>
      <c r="I83" s="65"/>
      <c r="J83" s="65"/>
      <c r="K83" s="65"/>
      <c r="L83" s="65"/>
      <c r="M83" s="65"/>
      <c r="N83" s="65"/>
      <c r="O83" s="65"/>
      <c r="P83" s="66">
        <f t="shared" si="1"/>
        <v>1</v>
      </c>
    </row>
    <row r="84" spans="1:16">
      <c r="A84" s="3">
        <v>82</v>
      </c>
      <c r="B84" s="3" t="s">
        <v>2</v>
      </c>
      <c r="C84" s="74" t="s">
        <v>130</v>
      </c>
      <c r="D84" s="64">
        <v>1</v>
      </c>
      <c r="E84" s="64">
        <v>1</v>
      </c>
      <c r="F84" s="64"/>
      <c r="G84" s="64"/>
      <c r="H84" s="65"/>
      <c r="I84" s="65"/>
      <c r="J84" s="65"/>
      <c r="K84" s="65"/>
      <c r="L84" s="65"/>
      <c r="M84" s="65"/>
      <c r="N84" s="65"/>
      <c r="O84" s="65"/>
      <c r="P84" s="66">
        <f t="shared" si="1"/>
        <v>2</v>
      </c>
    </row>
    <row r="85" spans="1:16">
      <c r="A85" s="3">
        <v>83</v>
      </c>
      <c r="B85" s="3" t="s">
        <v>2</v>
      </c>
      <c r="C85" s="74" t="s">
        <v>131</v>
      </c>
      <c r="D85" s="64"/>
      <c r="E85" s="64">
        <v>1</v>
      </c>
      <c r="F85" s="64"/>
      <c r="G85" s="64"/>
      <c r="H85" s="65"/>
      <c r="I85" s="65"/>
      <c r="J85" s="65"/>
      <c r="K85" s="65"/>
      <c r="L85" s="65"/>
      <c r="M85" s="65"/>
      <c r="N85" s="65"/>
      <c r="O85" s="65"/>
      <c r="P85" s="66">
        <f t="shared" si="1"/>
        <v>1</v>
      </c>
    </row>
    <row r="86" spans="1:16">
      <c r="A86" s="3">
        <v>84</v>
      </c>
      <c r="B86" s="3" t="s">
        <v>2</v>
      </c>
      <c r="C86" s="74" t="s">
        <v>132</v>
      </c>
      <c r="D86" s="64"/>
      <c r="E86" s="64"/>
      <c r="F86" s="64">
        <v>1</v>
      </c>
      <c r="G86" s="64"/>
      <c r="H86" s="65"/>
      <c r="I86" s="65"/>
      <c r="J86" s="65"/>
      <c r="K86" s="65"/>
      <c r="L86" s="65"/>
      <c r="M86" s="65"/>
      <c r="N86" s="65"/>
      <c r="O86" s="65"/>
      <c r="P86" s="66">
        <f t="shared" si="1"/>
        <v>1</v>
      </c>
    </row>
    <row r="87" spans="1:16">
      <c r="A87" s="3">
        <v>85</v>
      </c>
      <c r="B87" s="3" t="s">
        <v>2</v>
      </c>
      <c r="C87" s="74" t="s">
        <v>133</v>
      </c>
      <c r="D87" s="64"/>
      <c r="E87" s="64"/>
      <c r="F87" s="64"/>
      <c r="G87" s="64">
        <v>1</v>
      </c>
      <c r="H87" s="65"/>
      <c r="I87" s="65"/>
      <c r="J87" s="65"/>
      <c r="K87" s="65"/>
      <c r="L87" s="65"/>
      <c r="M87" s="65"/>
      <c r="N87" s="65"/>
      <c r="O87" s="65"/>
      <c r="P87" s="66">
        <f t="shared" si="1"/>
        <v>1</v>
      </c>
    </row>
    <row r="88" spans="1:16">
      <c r="A88" s="3">
        <v>86</v>
      </c>
      <c r="B88" s="3" t="s">
        <v>2</v>
      </c>
      <c r="C88" s="74" t="s">
        <v>134</v>
      </c>
      <c r="D88" s="64">
        <v>1</v>
      </c>
      <c r="E88" s="64"/>
      <c r="F88" s="64"/>
      <c r="G88" s="64"/>
      <c r="H88" s="65"/>
      <c r="I88" s="65"/>
      <c r="J88" s="65"/>
      <c r="K88" s="65"/>
      <c r="L88" s="65"/>
      <c r="M88" s="65"/>
      <c r="N88" s="65"/>
      <c r="O88" s="65"/>
      <c r="P88" s="66">
        <f t="shared" si="1"/>
        <v>1</v>
      </c>
    </row>
    <row r="89" spans="1:16">
      <c r="A89" s="3">
        <v>87</v>
      </c>
      <c r="B89" s="3" t="s">
        <v>2</v>
      </c>
      <c r="C89" s="74" t="s">
        <v>135</v>
      </c>
      <c r="D89" s="64">
        <v>1</v>
      </c>
      <c r="E89" s="64"/>
      <c r="F89" s="64"/>
      <c r="G89" s="64"/>
      <c r="H89" s="65"/>
      <c r="I89" s="65"/>
      <c r="J89" s="65"/>
      <c r="K89" s="65"/>
      <c r="L89" s="65"/>
      <c r="M89" s="65"/>
      <c r="N89" s="65"/>
      <c r="O89" s="65"/>
      <c r="P89" s="66">
        <f t="shared" si="1"/>
        <v>1</v>
      </c>
    </row>
    <row r="90" spans="1:16">
      <c r="A90" s="3">
        <v>88</v>
      </c>
      <c r="B90" s="3" t="s">
        <v>2</v>
      </c>
      <c r="C90" s="74" t="s">
        <v>136</v>
      </c>
      <c r="D90" s="64"/>
      <c r="E90" s="64">
        <v>1</v>
      </c>
      <c r="F90" s="64"/>
      <c r="G90" s="64"/>
      <c r="H90" s="65"/>
      <c r="I90" s="65"/>
      <c r="J90" s="65"/>
      <c r="K90" s="65"/>
      <c r="L90" s="65"/>
      <c r="M90" s="65"/>
      <c r="N90" s="65"/>
      <c r="O90" s="65"/>
      <c r="P90" s="66">
        <f t="shared" si="1"/>
        <v>1</v>
      </c>
    </row>
    <row r="91" spans="1:16">
      <c r="A91" s="3">
        <v>89</v>
      </c>
      <c r="B91" s="3" t="s">
        <v>2</v>
      </c>
      <c r="C91" s="74" t="s">
        <v>137</v>
      </c>
      <c r="D91" s="64"/>
      <c r="E91" s="64">
        <v>1</v>
      </c>
      <c r="F91" s="64"/>
      <c r="G91" s="64"/>
      <c r="H91" s="65"/>
      <c r="I91" s="65"/>
      <c r="J91" s="65"/>
      <c r="K91" s="65"/>
      <c r="L91" s="65"/>
      <c r="M91" s="65"/>
      <c r="N91" s="65"/>
      <c r="O91" s="65"/>
      <c r="P91" s="66">
        <f t="shared" si="1"/>
        <v>1</v>
      </c>
    </row>
    <row r="92" spans="1:16">
      <c r="A92" s="3">
        <v>90</v>
      </c>
      <c r="B92" s="3" t="s">
        <v>2</v>
      </c>
      <c r="C92" s="74" t="s">
        <v>138</v>
      </c>
      <c r="D92" s="64"/>
      <c r="E92" s="64"/>
      <c r="F92" s="64">
        <v>1</v>
      </c>
      <c r="G92" s="64"/>
      <c r="H92" s="65"/>
      <c r="I92" s="65"/>
      <c r="J92" s="65"/>
      <c r="K92" s="65"/>
      <c r="L92" s="65"/>
      <c r="M92" s="65"/>
      <c r="N92" s="65"/>
      <c r="O92" s="65"/>
      <c r="P92" s="66">
        <f t="shared" si="1"/>
        <v>1</v>
      </c>
    </row>
    <row r="93" spans="1:16">
      <c r="A93" s="3">
        <v>91</v>
      </c>
      <c r="B93" s="3" t="s">
        <v>2</v>
      </c>
      <c r="C93" s="74" t="s">
        <v>139</v>
      </c>
      <c r="D93" s="64"/>
      <c r="E93" s="64"/>
      <c r="F93" s="64"/>
      <c r="G93" s="64">
        <v>1</v>
      </c>
      <c r="H93" s="65"/>
      <c r="I93" s="65"/>
      <c r="J93" s="65"/>
      <c r="K93" s="65"/>
      <c r="L93" s="65"/>
      <c r="M93" s="65"/>
      <c r="N93" s="65"/>
      <c r="O93" s="65"/>
      <c r="P93" s="66">
        <f t="shared" si="1"/>
        <v>1</v>
      </c>
    </row>
    <row r="94" spans="1:16">
      <c r="A94" s="3">
        <v>92</v>
      </c>
      <c r="B94" s="3" t="s">
        <v>2</v>
      </c>
      <c r="C94" s="74" t="s">
        <v>140</v>
      </c>
      <c r="D94" s="64"/>
      <c r="E94" s="64"/>
      <c r="F94" s="64">
        <v>1</v>
      </c>
      <c r="G94" s="64"/>
      <c r="H94" s="65"/>
      <c r="I94" s="65"/>
      <c r="J94" s="65"/>
      <c r="K94" s="65"/>
      <c r="L94" s="65"/>
      <c r="M94" s="65"/>
      <c r="N94" s="65"/>
      <c r="O94" s="65"/>
      <c r="P94" s="66">
        <f t="shared" si="1"/>
        <v>1</v>
      </c>
    </row>
    <row r="95" spans="1:16">
      <c r="A95" s="3">
        <v>93</v>
      </c>
      <c r="B95" s="3" t="s">
        <v>2</v>
      </c>
      <c r="C95" s="74" t="s">
        <v>141</v>
      </c>
      <c r="D95" s="64"/>
      <c r="E95" s="64"/>
      <c r="F95" s="64">
        <v>1</v>
      </c>
      <c r="G95" s="64"/>
      <c r="H95" s="65"/>
      <c r="I95" s="65"/>
      <c r="J95" s="65"/>
      <c r="K95" s="65"/>
      <c r="L95" s="65"/>
      <c r="M95" s="65"/>
      <c r="N95" s="65"/>
      <c r="O95" s="65"/>
      <c r="P95" s="66">
        <f t="shared" si="1"/>
        <v>1</v>
      </c>
    </row>
    <row r="96" spans="1:16">
      <c r="A96" s="3">
        <v>94</v>
      </c>
      <c r="B96" s="3" t="s">
        <v>2</v>
      </c>
      <c r="C96" s="74" t="s">
        <v>142</v>
      </c>
      <c r="D96" s="64"/>
      <c r="E96" s="64"/>
      <c r="F96" s="64">
        <v>1</v>
      </c>
      <c r="G96" s="64"/>
      <c r="H96" s="65"/>
      <c r="I96" s="65"/>
      <c r="J96" s="65"/>
      <c r="K96" s="65"/>
      <c r="L96" s="65"/>
      <c r="M96" s="65"/>
      <c r="N96" s="65"/>
      <c r="O96" s="65"/>
      <c r="P96" s="66">
        <f t="shared" si="1"/>
        <v>1</v>
      </c>
    </row>
    <row r="97" spans="1:16">
      <c r="A97" s="3">
        <v>95</v>
      </c>
      <c r="B97" s="3" t="s">
        <v>2</v>
      </c>
      <c r="C97" s="74" t="s">
        <v>143</v>
      </c>
      <c r="D97" s="64"/>
      <c r="E97" s="64"/>
      <c r="F97" s="64">
        <v>1</v>
      </c>
      <c r="G97" s="64"/>
      <c r="H97" s="65"/>
      <c r="I97" s="65"/>
      <c r="J97" s="65"/>
      <c r="K97" s="65"/>
      <c r="L97" s="65"/>
      <c r="M97" s="65"/>
      <c r="N97" s="65"/>
      <c r="O97" s="65"/>
      <c r="P97" s="66">
        <f t="shared" si="1"/>
        <v>1</v>
      </c>
    </row>
    <row r="98" spans="1:16">
      <c r="D98" s="59"/>
      <c r="E98" s="59"/>
      <c r="F98" s="59"/>
      <c r="G98" s="59"/>
      <c r="H98" s="59"/>
      <c r="I98" s="59"/>
      <c r="J98" s="59"/>
      <c r="K98" s="59"/>
      <c r="L98" s="59"/>
      <c r="M98" s="59"/>
      <c r="N98" s="59"/>
      <c r="O98" s="59"/>
    </row>
    <row r="99" spans="1:16">
      <c r="D99" s="59"/>
      <c r="E99" s="59"/>
      <c r="F99" s="59"/>
      <c r="G99" s="59"/>
      <c r="H99" s="59"/>
      <c r="I99" s="59"/>
      <c r="J99" s="59"/>
      <c r="K99" s="59"/>
      <c r="L99" s="59"/>
      <c r="M99" s="59"/>
      <c r="N99" s="59"/>
      <c r="O99" s="59"/>
    </row>
    <row r="100" spans="1:16">
      <c r="D100" s="59"/>
      <c r="E100" s="59"/>
      <c r="F100" s="59"/>
      <c r="G100" s="59"/>
      <c r="H100" s="59"/>
      <c r="I100" s="59"/>
      <c r="J100" s="59"/>
      <c r="K100" s="59"/>
      <c r="L100" s="59"/>
      <c r="M100" s="59"/>
      <c r="N100" s="59"/>
      <c r="O100" s="59"/>
    </row>
    <row r="101" spans="1:16">
      <c r="D101" s="59"/>
      <c r="E101" s="59"/>
      <c r="F101" s="59"/>
      <c r="G101" s="59"/>
      <c r="H101" s="59"/>
      <c r="I101" s="59"/>
      <c r="J101" s="59"/>
      <c r="K101" s="59"/>
      <c r="L101" s="59"/>
      <c r="M101" s="59"/>
      <c r="N101" s="59"/>
      <c r="O101" s="59"/>
    </row>
    <row r="102" spans="1:16">
      <c r="D102" s="59"/>
      <c r="E102" s="59"/>
      <c r="F102" s="59"/>
      <c r="G102" s="59"/>
      <c r="H102" s="59"/>
      <c r="I102" s="59"/>
      <c r="J102" s="59"/>
      <c r="K102" s="59"/>
      <c r="L102" s="59"/>
      <c r="M102" s="59"/>
      <c r="N102" s="59"/>
      <c r="O102" s="59"/>
    </row>
    <row r="103" spans="1:16">
      <c r="D103" s="59"/>
      <c r="E103" s="59"/>
      <c r="F103" s="59"/>
      <c r="G103" s="59"/>
      <c r="H103" s="59"/>
      <c r="I103" s="59"/>
      <c r="J103" s="59"/>
      <c r="K103" s="59"/>
      <c r="L103" s="59"/>
      <c r="M103" s="59"/>
      <c r="N103" s="59"/>
      <c r="O103" s="59"/>
    </row>
    <row r="104" spans="1:16">
      <c r="D104" s="59"/>
      <c r="E104" s="59"/>
      <c r="F104" s="59"/>
      <c r="G104" s="59"/>
      <c r="H104" s="59"/>
      <c r="I104" s="59"/>
      <c r="J104" s="59"/>
      <c r="K104" s="59"/>
      <c r="L104" s="59"/>
      <c r="M104" s="59"/>
      <c r="N104" s="59"/>
      <c r="O104" s="59"/>
    </row>
    <row r="105" spans="1:16">
      <c r="D105" s="59"/>
      <c r="E105" s="59"/>
      <c r="F105" s="59"/>
      <c r="G105" s="59"/>
      <c r="H105" s="59"/>
      <c r="I105" s="59"/>
      <c r="J105" s="59"/>
      <c r="K105" s="59"/>
      <c r="L105" s="59"/>
      <c r="M105" s="59"/>
      <c r="N105" s="59"/>
      <c r="O105" s="59"/>
    </row>
    <row r="106" spans="1:16">
      <c r="D106" s="59"/>
      <c r="E106" s="59"/>
      <c r="F106" s="59"/>
      <c r="G106" s="59"/>
      <c r="H106" s="59"/>
      <c r="I106" s="59"/>
      <c r="J106" s="59"/>
      <c r="K106" s="59"/>
      <c r="L106" s="59"/>
      <c r="M106" s="59"/>
      <c r="N106" s="59"/>
      <c r="O106" s="59"/>
    </row>
    <row r="107" spans="1:16">
      <c r="D107" s="59"/>
      <c r="E107" s="59"/>
      <c r="F107" s="59"/>
      <c r="G107" s="59"/>
      <c r="H107" s="59"/>
      <c r="I107" s="59"/>
      <c r="J107" s="59"/>
      <c r="K107" s="59"/>
      <c r="L107" s="59"/>
      <c r="M107" s="59"/>
      <c r="N107" s="59"/>
      <c r="O107" s="59"/>
    </row>
    <row r="108" spans="1:16">
      <c r="D108" s="59"/>
      <c r="E108" s="59"/>
      <c r="F108" s="59"/>
      <c r="G108" s="59"/>
      <c r="H108" s="59"/>
      <c r="I108" s="59"/>
      <c r="J108" s="59"/>
      <c r="K108" s="59"/>
      <c r="L108" s="59"/>
      <c r="M108" s="59"/>
      <c r="N108" s="59"/>
      <c r="O108" s="59"/>
    </row>
    <row r="109" spans="1:16">
      <c r="D109" s="59"/>
      <c r="E109" s="59"/>
      <c r="F109" s="59"/>
      <c r="G109" s="59"/>
      <c r="H109" s="59"/>
      <c r="I109" s="59"/>
      <c r="J109" s="59"/>
      <c r="K109" s="59"/>
      <c r="L109" s="59"/>
      <c r="M109" s="59"/>
      <c r="N109" s="59"/>
      <c r="O109" s="59"/>
    </row>
    <row r="110" spans="1:16">
      <c r="D110" s="59"/>
      <c r="E110" s="59"/>
      <c r="F110" s="59"/>
      <c r="G110" s="59"/>
      <c r="H110" s="59"/>
      <c r="I110" s="59"/>
      <c r="J110" s="59"/>
      <c r="K110" s="59"/>
      <c r="L110" s="59"/>
      <c r="M110" s="59"/>
      <c r="N110" s="59"/>
      <c r="O110" s="59"/>
    </row>
    <row r="111" spans="1:16">
      <c r="D111" s="59"/>
      <c r="E111" s="59"/>
      <c r="F111" s="59"/>
      <c r="G111" s="59"/>
      <c r="H111" s="59"/>
      <c r="I111" s="59"/>
      <c r="J111" s="59"/>
      <c r="K111" s="59"/>
      <c r="L111" s="59"/>
      <c r="M111" s="59"/>
      <c r="N111" s="59"/>
      <c r="O111" s="59"/>
    </row>
    <row r="112" spans="1:16">
      <c r="D112" s="59"/>
      <c r="E112" s="59"/>
      <c r="F112" s="59"/>
      <c r="G112" s="59"/>
      <c r="H112" s="59"/>
      <c r="I112" s="59"/>
      <c r="J112" s="59"/>
      <c r="K112" s="59"/>
      <c r="L112" s="59"/>
      <c r="M112" s="59"/>
      <c r="N112" s="59"/>
      <c r="O112" s="59"/>
    </row>
    <row r="113" spans="4:15">
      <c r="D113" s="59"/>
      <c r="E113" s="59"/>
      <c r="F113" s="59"/>
      <c r="G113" s="59"/>
      <c r="H113" s="59"/>
      <c r="I113" s="59"/>
      <c r="J113" s="59"/>
      <c r="K113" s="59"/>
      <c r="L113" s="59"/>
      <c r="M113" s="59"/>
      <c r="N113" s="59"/>
      <c r="O113" s="59"/>
    </row>
    <row r="114" spans="4:15">
      <c r="D114" s="59"/>
      <c r="E114" s="59"/>
      <c r="F114" s="59"/>
      <c r="G114" s="59"/>
      <c r="H114" s="59"/>
      <c r="I114" s="59"/>
      <c r="J114" s="59"/>
      <c r="K114" s="59"/>
      <c r="L114" s="59"/>
      <c r="M114" s="59"/>
      <c r="N114" s="59"/>
      <c r="O114" s="59"/>
    </row>
    <row r="115" spans="4:15">
      <c r="D115" s="59"/>
      <c r="E115" s="59"/>
      <c r="F115" s="59"/>
      <c r="G115" s="59"/>
      <c r="H115" s="59"/>
      <c r="I115" s="59"/>
      <c r="J115" s="59"/>
      <c r="K115" s="59"/>
      <c r="L115" s="59"/>
      <c r="M115" s="59"/>
      <c r="N115" s="59"/>
      <c r="O115" s="59"/>
    </row>
    <row r="116" spans="4:15">
      <c r="D116" s="59"/>
      <c r="E116" s="59"/>
      <c r="F116" s="59"/>
      <c r="G116" s="59"/>
      <c r="H116" s="59"/>
      <c r="I116" s="59"/>
      <c r="J116" s="59"/>
      <c r="K116" s="59"/>
      <c r="L116" s="59"/>
      <c r="M116" s="59"/>
      <c r="N116" s="59"/>
      <c r="O116" s="59"/>
    </row>
    <row r="117" spans="4:15">
      <c r="D117" s="59"/>
      <c r="E117" s="59"/>
      <c r="F117" s="59"/>
      <c r="G117" s="59"/>
      <c r="H117" s="59"/>
      <c r="I117" s="59"/>
      <c r="J117" s="59"/>
      <c r="K117" s="59"/>
      <c r="L117" s="59"/>
      <c r="M117" s="59"/>
      <c r="N117" s="59"/>
      <c r="O117" s="59"/>
    </row>
    <row r="118" spans="4:15">
      <c r="D118" s="59"/>
      <c r="E118" s="59"/>
      <c r="F118" s="59"/>
      <c r="G118" s="59"/>
      <c r="H118" s="59"/>
      <c r="I118" s="59"/>
      <c r="J118" s="59"/>
      <c r="K118" s="59"/>
      <c r="L118" s="59"/>
      <c r="M118" s="59"/>
      <c r="N118" s="59"/>
      <c r="O118" s="59"/>
    </row>
    <row r="119" spans="4:15">
      <c r="D119" s="59"/>
      <c r="E119" s="59"/>
      <c r="F119" s="59"/>
      <c r="G119" s="59"/>
      <c r="H119" s="59"/>
      <c r="I119" s="59"/>
      <c r="J119" s="59"/>
      <c r="K119" s="59"/>
      <c r="L119" s="59"/>
      <c r="M119" s="59"/>
      <c r="N119" s="59"/>
      <c r="O119" s="59"/>
    </row>
    <row r="120" spans="4:15">
      <c r="D120" s="59"/>
      <c r="E120" s="59"/>
      <c r="F120" s="59"/>
      <c r="G120" s="59"/>
      <c r="H120" s="59"/>
      <c r="I120" s="59"/>
      <c r="J120" s="59"/>
      <c r="K120" s="59"/>
      <c r="L120" s="59"/>
      <c r="M120" s="59"/>
      <c r="N120" s="59"/>
      <c r="O120" s="59"/>
    </row>
    <row r="121" spans="4:15">
      <c r="D121" s="59"/>
      <c r="E121" s="59"/>
      <c r="F121" s="59"/>
      <c r="G121" s="59"/>
      <c r="H121" s="59"/>
      <c r="I121" s="59"/>
      <c r="J121" s="59"/>
      <c r="K121" s="59"/>
      <c r="L121" s="59"/>
      <c r="M121" s="59"/>
      <c r="N121" s="59"/>
      <c r="O121" s="59"/>
    </row>
    <row r="122" spans="4:15">
      <c r="D122" s="59"/>
      <c r="E122" s="59"/>
      <c r="F122" s="59"/>
      <c r="G122" s="59"/>
      <c r="H122" s="59"/>
      <c r="I122" s="59"/>
      <c r="J122" s="59"/>
      <c r="K122" s="59"/>
      <c r="L122" s="59"/>
      <c r="M122" s="59"/>
      <c r="N122" s="59"/>
      <c r="O122" s="59"/>
    </row>
    <row r="123" spans="4:15">
      <c r="D123" s="59"/>
      <c r="E123" s="59"/>
      <c r="F123" s="59"/>
      <c r="G123" s="59"/>
      <c r="H123" s="59"/>
      <c r="I123" s="59"/>
      <c r="J123" s="59"/>
      <c r="K123" s="59"/>
      <c r="L123" s="59"/>
      <c r="M123" s="59"/>
      <c r="N123" s="59"/>
      <c r="O123" s="59"/>
    </row>
    <row r="124" spans="4:15">
      <c r="D124" s="59"/>
      <c r="E124" s="59"/>
      <c r="F124" s="59"/>
      <c r="G124" s="59"/>
      <c r="H124" s="59"/>
      <c r="I124" s="59"/>
      <c r="J124" s="59"/>
      <c r="K124" s="59"/>
      <c r="L124" s="59"/>
      <c r="M124" s="59"/>
      <c r="N124" s="59"/>
      <c r="O124" s="59"/>
    </row>
    <row r="125" spans="4:15">
      <c r="D125" s="59"/>
      <c r="E125" s="59"/>
      <c r="F125" s="59"/>
      <c r="G125" s="59"/>
      <c r="H125" s="59"/>
      <c r="I125" s="59"/>
      <c r="J125" s="59"/>
      <c r="K125" s="59"/>
      <c r="L125" s="59"/>
      <c r="M125" s="59"/>
      <c r="N125" s="59"/>
      <c r="O125" s="59"/>
    </row>
    <row r="126" spans="4:15">
      <c r="D126" s="59"/>
      <c r="E126" s="59"/>
      <c r="F126" s="59"/>
      <c r="G126" s="59"/>
      <c r="H126" s="59"/>
      <c r="I126" s="59"/>
      <c r="J126" s="59"/>
      <c r="K126" s="59"/>
      <c r="L126" s="59"/>
      <c r="M126" s="59"/>
      <c r="N126" s="59"/>
      <c r="O126" s="59"/>
    </row>
    <row r="127" spans="4:15">
      <c r="D127" s="59"/>
      <c r="E127" s="59"/>
      <c r="F127" s="59"/>
      <c r="G127" s="59"/>
      <c r="H127" s="59"/>
      <c r="I127" s="59"/>
      <c r="J127" s="59"/>
      <c r="K127" s="59"/>
      <c r="L127" s="59"/>
      <c r="M127" s="59"/>
      <c r="N127" s="59"/>
      <c r="O127" s="59"/>
    </row>
    <row r="128" spans="4:15">
      <c r="D128" s="59"/>
      <c r="E128" s="59"/>
      <c r="F128" s="59"/>
      <c r="G128" s="59"/>
      <c r="H128" s="59"/>
      <c r="I128" s="59"/>
      <c r="J128" s="59"/>
      <c r="K128" s="59"/>
      <c r="L128" s="59"/>
      <c r="M128" s="59"/>
      <c r="N128" s="59"/>
      <c r="O128" s="59"/>
    </row>
    <row r="129" spans="4:15">
      <c r="D129" s="59"/>
      <c r="E129" s="59"/>
      <c r="F129" s="59"/>
      <c r="G129" s="59"/>
      <c r="H129" s="59"/>
      <c r="I129" s="59"/>
      <c r="J129" s="59"/>
      <c r="K129" s="59"/>
      <c r="L129" s="59"/>
      <c r="M129" s="59"/>
      <c r="N129" s="59"/>
      <c r="O129" s="59"/>
    </row>
    <row r="130" spans="4:15">
      <c r="D130" s="59"/>
      <c r="E130" s="59"/>
      <c r="F130" s="59"/>
      <c r="G130" s="59"/>
      <c r="H130" s="59"/>
      <c r="I130" s="59"/>
      <c r="J130" s="59"/>
      <c r="K130" s="59"/>
      <c r="L130" s="59"/>
      <c r="M130" s="59"/>
      <c r="N130" s="59"/>
      <c r="O130" s="59"/>
    </row>
    <row r="131" spans="4:15">
      <c r="D131" s="59"/>
      <c r="E131" s="59"/>
      <c r="F131" s="59"/>
      <c r="G131" s="59"/>
      <c r="H131" s="59"/>
      <c r="I131" s="59"/>
      <c r="J131" s="59"/>
      <c r="K131" s="59"/>
      <c r="L131" s="59"/>
      <c r="M131" s="59"/>
      <c r="N131" s="59"/>
      <c r="O131" s="59"/>
    </row>
    <row r="132" spans="4:15">
      <c r="D132" s="59"/>
      <c r="E132" s="59"/>
      <c r="F132" s="59"/>
      <c r="G132" s="59"/>
      <c r="H132" s="59"/>
      <c r="I132" s="59"/>
      <c r="J132" s="59"/>
      <c r="K132" s="59"/>
      <c r="L132" s="59"/>
      <c r="M132" s="59"/>
      <c r="N132" s="59"/>
      <c r="O132" s="59"/>
    </row>
    <row r="133" spans="4:15">
      <c r="D133" s="59"/>
      <c r="E133" s="59"/>
      <c r="F133" s="59"/>
      <c r="G133" s="59"/>
      <c r="H133" s="59"/>
      <c r="I133" s="59"/>
      <c r="J133" s="59"/>
      <c r="K133" s="59"/>
      <c r="L133" s="59"/>
      <c r="M133" s="59"/>
      <c r="N133" s="59"/>
      <c r="O133" s="59"/>
    </row>
    <row r="134" spans="4:15">
      <c r="D134" s="59"/>
      <c r="E134" s="59"/>
      <c r="F134" s="59"/>
      <c r="G134" s="59"/>
      <c r="H134" s="59"/>
      <c r="I134" s="59"/>
      <c r="J134" s="59"/>
      <c r="K134" s="59"/>
      <c r="L134" s="59"/>
      <c r="M134" s="59"/>
      <c r="N134" s="59"/>
      <c r="O134" s="59"/>
    </row>
    <row r="135" spans="4:15">
      <c r="D135" s="59"/>
      <c r="E135" s="59"/>
      <c r="F135" s="59"/>
      <c r="G135" s="59"/>
      <c r="H135" s="59"/>
      <c r="I135" s="59"/>
      <c r="J135" s="59"/>
      <c r="K135" s="59"/>
      <c r="L135" s="59"/>
      <c r="M135" s="59"/>
      <c r="N135" s="59"/>
      <c r="O135" s="59"/>
    </row>
    <row r="136" spans="4:15">
      <c r="D136" s="59"/>
      <c r="E136" s="59"/>
      <c r="F136" s="59"/>
      <c r="G136" s="59"/>
      <c r="H136" s="59"/>
      <c r="I136" s="59"/>
      <c r="J136" s="59"/>
      <c r="K136" s="59"/>
      <c r="L136" s="59"/>
      <c r="M136" s="59"/>
      <c r="N136" s="59"/>
      <c r="O136" s="59"/>
    </row>
    <row r="137" spans="4:15">
      <c r="D137" s="59"/>
      <c r="E137" s="59"/>
      <c r="F137" s="59"/>
      <c r="G137" s="59"/>
      <c r="H137" s="59"/>
      <c r="I137" s="59"/>
      <c r="J137" s="59"/>
      <c r="K137" s="59"/>
      <c r="L137" s="59"/>
      <c r="M137" s="59"/>
      <c r="N137" s="59"/>
      <c r="O137" s="59"/>
    </row>
    <row r="138" spans="4:15">
      <c r="D138" s="59"/>
      <c r="E138" s="59"/>
      <c r="F138" s="59"/>
      <c r="G138" s="59"/>
      <c r="H138" s="59"/>
      <c r="I138" s="59"/>
      <c r="J138" s="59"/>
      <c r="K138" s="59"/>
      <c r="L138" s="59"/>
      <c r="M138" s="59"/>
      <c r="N138" s="59"/>
      <c r="O138" s="59"/>
    </row>
    <row r="139" spans="4:15">
      <c r="D139" s="59"/>
      <c r="E139" s="59"/>
      <c r="F139" s="59"/>
      <c r="G139" s="59"/>
      <c r="H139" s="59"/>
      <c r="I139" s="59"/>
      <c r="J139" s="59"/>
      <c r="K139" s="59"/>
      <c r="L139" s="59"/>
      <c r="M139" s="59"/>
      <c r="N139" s="59"/>
      <c r="O139" s="59"/>
    </row>
    <row r="140" spans="4:15">
      <c r="D140" s="59"/>
      <c r="E140" s="59"/>
      <c r="F140" s="59"/>
      <c r="G140" s="59"/>
      <c r="H140" s="59"/>
      <c r="I140" s="59"/>
      <c r="J140" s="59"/>
      <c r="K140" s="59"/>
      <c r="L140" s="59"/>
      <c r="M140" s="59"/>
      <c r="N140" s="59"/>
      <c r="O140" s="59"/>
    </row>
    <row r="141" spans="4:15">
      <c r="D141" s="59"/>
      <c r="E141" s="59"/>
      <c r="F141" s="59"/>
      <c r="G141" s="59"/>
      <c r="H141" s="59"/>
      <c r="I141" s="59"/>
      <c r="J141" s="59"/>
      <c r="K141" s="59"/>
      <c r="L141" s="59"/>
      <c r="M141" s="59"/>
      <c r="N141" s="59"/>
      <c r="O141" s="59"/>
    </row>
    <row r="142" spans="4:15">
      <c r="D142" s="59"/>
      <c r="E142" s="59"/>
      <c r="F142" s="59"/>
      <c r="G142" s="59"/>
      <c r="H142" s="59"/>
      <c r="I142" s="59"/>
      <c r="J142" s="59"/>
      <c r="K142" s="59"/>
      <c r="L142" s="59"/>
      <c r="M142" s="59"/>
      <c r="N142" s="59"/>
      <c r="O142" s="59"/>
    </row>
    <row r="143" spans="4:15">
      <c r="D143" s="59"/>
      <c r="E143" s="59"/>
      <c r="F143" s="59"/>
      <c r="G143" s="59"/>
      <c r="H143" s="59"/>
      <c r="I143" s="59"/>
      <c r="J143" s="59"/>
      <c r="K143" s="59"/>
      <c r="L143" s="59"/>
      <c r="M143" s="59"/>
      <c r="N143" s="59"/>
      <c r="O143" s="59"/>
    </row>
    <row r="144" spans="4:15">
      <c r="D144" s="59"/>
      <c r="E144" s="59"/>
      <c r="F144" s="59"/>
      <c r="G144" s="59"/>
      <c r="H144" s="59"/>
      <c r="I144" s="59"/>
      <c r="J144" s="59"/>
      <c r="K144" s="59"/>
      <c r="L144" s="59"/>
      <c r="M144" s="59"/>
      <c r="N144" s="59"/>
      <c r="O144" s="59"/>
    </row>
    <row r="145" spans="4:15">
      <c r="D145" s="59"/>
      <c r="E145" s="59"/>
      <c r="F145" s="59"/>
      <c r="G145" s="59"/>
      <c r="H145" s="59"/>
      <c r="I145" s="59"/>
      <c r="J145" s="59"/>
      <c r="K145" s="59"/>
      <c r="L145" s="59"/>
      <c r="M145" s="59"/>
      <c r="N145" s="59"/>
      <c r="O145" s="59"/>
    </row>
    <row r="146" spans="4:15">
      <c r="D146" s="59"/>
      <c r="E146" s="59"/>
      <c r="F146" s="59"/>
      <c r="G146" s="59"/>
      <c r="H146" s="59"/>
      <c r="I146" s="59"/>
      <c r="J146" s="59"/>
      <c r="K146" s="59"/>
      <c r="L146" s="59"/>
      <c r="M146" s="59"/>
      <c r="N146" s="59"/>
      <c r="O146" s="59"/>
    </row>
    <row r="147" spans="4:15">
      <c r="D147" s="59"/>
      <c r="E147" s="59"/>
      <c r="F147" s="59"/>
      <c r="G147" s="59"/>
      <c r="H147" s="59"/>
      <c r="I147" s="59"/>
      <c r="J147" s="59"/>
      <c r="K147" s="59"/>
      <c r="L147" s="59"/>
      <c r="M147" s="59"/>
      <c r="N147" s="59"/>
      <c r="O147" s="59"/>
    </row>
    <row r="148" spans="4:15">
      <c r="D148" s="59"/>
      <c r="E148" s="59"/>
      <c r="F148" s="59"/>
      <c r="G148" s="59"/>
      <c r="H148" s="59"/>
      <c r="I148" s="59"/>
      <c r="J148" s="59"/>
      <c r="K148" s="59"/>
      <c r="L148" s="59"/>
      <c r="M148" s="59"/>
      <c r="N148" s="59"/>
      <c r="O148" s="59"/>
    </row>
    <row r="149" spans="4:15">
      <c r="D149" s="59"/>
      <c r="E149" s="59"/>
      <c r="F149" s="59"/>
      <c r="G149" s="59"/>
      <c r="H149" s="59"/>
      <c r="I149" s="59"/>
      <c r="J149" s="59"/>
      <c r="K149" s="59"/>
      <c r="L149" s="59"/>
      <c r="M149" s="59"/>
      <c r="N149" s="59"/>
      <c r="O149" s="59"/>
    </row>
    <row r="150" spans="4:15">
      <c r="D150" s="59"/>
      <c r="E150" s="59"/>
      <c r="F150" s="59"/>
      <c r="G150" s="59"/>
      <c r="H150" s="59"/>
      <c r="I150" s="59"/>
      <c r="J150" s="59"/>
      <c r="K150" s="59"/>
      <c r="L150" s="59"/>
      <c r="M150" s="59"/>
      <c r="N150" s="59"/>
      <c r="O150" s="59"/>
    </row>
    <row r="151" spans="4:15">
      <c r="D151" s="59"/>
      <c r="E151" s="59"/>
      <c r="F151" s="59"/>
      <c r="G151" s="59"/>
      <c r="H151" s="59"/>
      <c r="I151" s="59"/>
      <c r="J151" s="59"/>
      <c r="K151" s="59"/>
      <c r="L151" s="59"/>
      <c r="M151" s="59"/>
      <c r="N151" s="59"/>
      <c r="O151" s="59"/>
    </row>
    <row r="152" spans="4:15">
      <c r="D152" s="59"/>
      <c r="E152" s="59"/>
      <c r="F152" s="59"/>
      <c r="G152" s="59"/>
      <c r="H152" s="59"/>
      <c r="I152" s="59"/>
      <c r="J152" s="59"/>
      <c r="K152" s="59"/>
      <c r="L152" s="59"/>
      <c r="M152" s="59"/>
      <c r="N152" s="59"/>
      <c r="O152" s="59"/>
    </row>
    <row r="153" spans="4:15">
      <c r="D153" s="59"/>
      <c r="E153" s="59"/>
      <c r="F153" s="59"/>
      <c r="G153" s="59"/>
      <c r="H153" s="59"/>
      <c r="I153" s="59"/>
      <c r="J153" s="59"/>
      <c r="K153" s="59"/>
      <c r="L153" s="59"/>
      <c r="M153" s="59"/>
      <c r="N153" s="59"/>
      <c r="O153" s="59"/>
    </row>
    <row r="154" spans="4:15">
      <c r="D154" s="59"/>
      <c r="E154" s="59"/>
      <c r="F154" s="59"/>
      <c r="G154" s="59"/>
      <c r="H154" s="59"/>
      <c r="I154" s="59"/>
      <c r="J154" s="59"/>
      <c r="K154" s="59"/>
      <c r="L154" s="59"/>
      <c r="M154" s="59"/>
      <c r="N154" s="59"/>
      <c r="O154" s="59"/>
    </row>
    <row r="155" spans="4:15">
      <c r="D155" s="59"/>
      <c r="E155" s="59"/>
      <c r="F155" s="59"/>
      <c r="G155" s="59"/>
      <c r="H155" s="59"/>
      <c r="I155" s="59"/>
      <c r="J155" s="59"/>
      <c r="K155" s="59"/>
      <c r="L155" s="59"/>
      <c r="M155" s="59"/>
      <c r="N155" s="59"/>
      <c r="O155" s="59"/>
    </row>
    <row r="156" spans="4:15">
      <c r="D156" s="59"/>
      <c r="E156" s="59"/>
      <c r="F156" s="59"/>
      <c r="G156" s="59"/>
      <c r="H156" s="59"/>
      <c r="I156" s="59"/>
      <c r="J156" s="59"/>
      <c r="K156" s="59"/>
      <c r="L156" s="59"/>
      <c r="M156" s="59"/>
      <c r="N156" s="59"/>
      <c r="O156" s="59"/>
    </row>
    <row r="157" spans="4:15">
      <c r="D157" s="59"/>
      <c r="E157" s="59"/>
      <c r="F157" s="59"/>
      <c r="G157" s="59"/>
      <c r="H157" s="59"/>
      <c r="I157" s="59"/>
      <c r="J157" s="59"/>
      <c r="K157" s="59"/>
      <c r="L157" s="59"/>
      <c r="M157" s="59"/>
      <c r="N157" s="59"/>
      <c r="O157" s="59"/>
    </row>
    <row r="158" spans="4:15">
      <c r="D158" s="59"/>
      <c r="E158" s="59"/>
      <c r="F158" s="59"/>
      <c r="G158" s="59"/>
      <c r="H158" s="59"/>
      <c r="I158" s="59"/>
      <c r="J158" s="59"/>
      <c r="K158" s="59"/>
      <c r="L158" s="59"/>
      <c r="M158" s="59"/>
      <c r="N158" s="59"/>
      <c r="O158" s="59"/>
    </row>
    <row r="159" spans="4:15">
      <c r="D159" s="59"/>
      <c r="E159" s="59"/>
      <c r="F159" s="59"/>
      <c r="G159" s="59"/>
      <c r="H159" s="59"/>
      <c r="I159" s="59"/>
      <c r="J159" s="59"/>
      <c r="K159" s="59"/>
      <c r="L159" s="59"/>
      <c r="M159" s="59"/>
      <c r="N159" s="59"/>
      <c r="O159" s="59"/>
    </row>
    <row r="160" spans="4:15">
      <c r="D160" s="59"/>
      <c r="E160" s="59"/>
      <c r="F160" s="59"/>
      <c r="G160" s="59"/>
      <c r="H160" s="59"/>
      <c r="I160" s="59"/>
      <c r="J160" s="59"/>
      <c r="K160" s="59"/>
      <c r="L160" s="59"/>
      <c r="M160" s="59"/>
      <c r="N160" s="59"/>
      <c r="O160" s="59"/>
    </row>
    <row r="161" spans="4:15">
      <c r="D161" s="59"/>
      <c r="E161" s="59"/>
      <c r="F161" s="59"/>
      <c r="G161" s="59"/>
      <c r="H161" s="59"/>
      <c r="I161" s="59"/>
      <c r="J161" s="59"/>
      <c r="K161" s="59"/>
      <c r="L161" s="59"/>
      <c r="M161" s="59"/>
      <c r="N161" s="59"/>
      <c r="O161" s="59"/>
    </row>
    <row r="162" spans="4:15">
      <c r="D162" s="59"/>
      <c r="E162" s="59"/>
      <c r="F162" s="59"/>
      <c r="G162" s="59"/>
      <c r="H162" s="59"/>
      <c r="I162" s="59"/>
      <c r="J162" s="59"/>
      <c r="K162" s="59"/>
      <c r="L162" s="59"/>
      <c r="M162" s="59"/>
      <c r="N162" s="59"/>
      <c r="O162" s="59"/>
    </row>
    <row r="163" spans="4:15">
      <c r="D163" s="59"/>
      <c r="E163" s="59"/>
      <c r="F163" s="59"/>
      <c r="G163" s="59"/>
      <c r="H163" s="59"/>
      <c r="I163" s="59"/>
      <c r="J163" s="59"/>
      <c r="K163" s="59"/>
      <c r="L163" s="59"/>
      <c r="M163" s="59"/>
      <c r="N163" s="59"/>
      <c r="O163" s="59"/>
    </row>
    <row r="164" spans="4:15">
      <c r="D164" s="59"/>
      <c r="E164" s="59"/>
      <c r="F164" s="59"/>
      <c r="G164" s="59"/>
      <c r="H164" s="59"/>
      <c r="I164" s="59"/>
      <c r="J164" s="59"/>
      <c r="K164" s="59"/>
      <c r="L164" s="59"/>
      <c r="M164" s="59"/>
      <c r="N164" s="59"/>
      <c r="O164" s="59"/>
    </row>
    <row r="165" spans="4:15">
      <c r="D165" s="59"/>
      <c r="E165" s="59"/>
      <c r="F165" s="59"/>
      <c r="G165" s="59"/>
      <c r="H165" s="59"/>
      <c r="I165" s="59"/>
      <c r="J165" s="59"/>
      <c r="K165" s="59"/>
      <c r="L165" s="59"/>
      <c r="M165" s="59"/>
      <c r="N165" s="59"/>
      <c r="O165" s="59"/>
    </row>
    <row r="166" spans="4:15">
      <c r="D166" s="59"/>
      <c r="E166" s="59"/>
      <c r="F166" s="59"/>
      <c r="G166" s="59"/>
      <c r="H166" s="59"/>
      <c r="I166" s="59"/>
      <c r="J166" s="59"/>
      <c r="K166" s="59"/>
      <c r="L166" s="59"/>
      <c r="M166" s="59"/>
      <c r="N166" s="59"/>
      <c r="O166" s="59"/>
    </row>
    <row r="167" spans="4:15">
      <c r="D167" s="59"/>
      <c r="E167" s="59"/>
      <c r="F167" s="59"/>
      <c r="G167" s="59"/>
      <c r="H167" s="59"/>
      <c r="I167" s="59"/>
      <c r="J167" s="59"/>
      <c r="K167" s="59"/>
      <c r="L167" s="59"/>
      <c r="M167" s="59"/>
      <c r="N167" s="59"/>
      <c r="O167" s="59"/>
    </row>
    <row r="168" spans="4:15">
      <c r="D168" s="59"/>
      <c r="E168" s="59"/>
      <c r="F168" s="59"/>
      <c r="G168" s="59"/>
      <c r="H168" s="59"/>
      <c r="I168" s="59"/>
      <c r="J168" s="59"/>
      <c r="K168" s="59"/>
      <c r="L168" s="59"/>
      <c r="M168" s="59"/>
      <c r="N168" s="59"/>
      <c r="O168" s="59"/>
    </row>
    <row r="169" spans="4:15">
      <c r="D169" s="59"/>
      <c r="E169" s="59"/>
      <c r="F169" s="59"/>
      <c r="G169" s="59"/>
      <c r="H169" s="59"/>
      <c r="I169" s="59"/>
      <c r="J169" s="59"/>
      <c r="K169" s="59"/>
      <c r="L169" s="59"/>
      <c r="M169" s="59"/>
      <c r="N169" s="59"/>
      <c r="O169" s="59"/>
    </row>
    <row r="170" spans="4:15">
      <c r="D170" s="59"/>
      <c r="E170" s="59"/>
      <c r="F170" s="59"/>
      <c r="G170" s="59"/>
      <c r="H170" s="59"/>
      <c r="I170" s="59"/>
      <c r="J170" s="59"/>
      <c r="K170" s="59"/>
      <c r="L170" s="59"/>
      <c r="M170" s="59"/>
      <c r="N170" s="59"/>
      <c r="O170" s="59"/>
    </row>
    <row r="171" spans="4:15">
      <c r="D171" s="59"/>
      <c r="E171" s="59"/>
      <c r="F171" s="59"/>
      <c r="G171" s="59"/>
      <c r="H171" s="59"/>
      <c r="I171" s="59"/>
      <c r="J171" s="59"/>
      <c r="K171" s="59"/>
      <c r="L171" s="59"/>
      <c r="M171" s="59"/>
      <c r="N171" s="59"/>
      <c r="O171" s="59"/>
    </row>
    <row r="172" spans="4:15">
      <c r="D172" s="59"/>
      <c r="E172" s="59"/>
      <c r="F172" s="59"/>
      <c r="G172" s="59"/>
      <c r="H172" s="59"/>
      <c r="I172" s="59"/>
      <c r="J172" s="59"/>
      <c r="K172" s="59"/>
      <c r="L172" s="59"/>
      <c r="M172" s="59"/>
      <c r="N172" s="59"/>
      <c r="O172" s="59"/>
    </row>
    <row r="173" spans="4:15">
      <c r="D173" s="59"/>
      <c r="E173" s="59"/>
      <c r="F173" s="59"/>
      <c r="G173" s="59"/>
      <c r="H173" s="59"/>
      <c r="I173" s="59"/>
      <c r="J173" s="59"/>
      <c r="K173" s="59"/>
      <c r="L173" s="59"/>
      <c r="M173" s="59"/>
      <c r="N173" s="59"/>
      <c r="O173" s="59"/>
    </row>
    <row r="174" spans="4:15">
      <c r="D174" s="59"/>
      <c r="E174" s="59"/>
      <c r="F174" s="59"/>
      <c r="G174" s="59"/>
      <c r="H174" s="59"/>
      <c r="I174" s="59"/>
      <c r="J174" s="59"/>
      <c r="K174" s="59"/>
      <c r="L174" s="59"/>
      <c r="M174" s="59"/>
      <c r="N174" s="59"/>
      <c r="O174" s="59"/>
    </row>
    <row r="175" spans="4:15">
      <c r="D175" s="59"/>
      <c r="E175" s="59"/>
      <c r="F175" s="59"/>
      <c r="G175" s="59"/>
      <c r="H175" s="59"/>
      <c r="I175" s="59"/>
      <c r="J175" s="59"/>
      <c r="K175" s="59"/>
      <c r="L175" s="59"/>
      <c r="M175" s="59"/>
      <c r="N175" s="59"/>
      <c r="O175" s="59"/>
    </row>
    <row r="176" spans="4:15">
      <c r="D176" s="59"/>
      <c r="E176" s="59"/>
      <c r="F176" s="59"/>
      <c r="G176" s="59"/>
      <c r="H176" s="59"/>
      <c r="I176" s="59"/>
      <c r="J176" s="59"/>
      <c r="K176" s="59"/>
      <c r="L176" s="59"/>
      <c r="M176" s="59"/>
      <c r="N176" s="59"/>
      <c r="O176" s="59"/>
    </row>
    <row r="177" spans="4:15">
      <c r="D177" s="59"/>
      <c r="E177" s="59"/>
      <c r="F177" s="59"/>
      <c r="G177" s="59"/>
      <c r="H177" s="59"/>
      <c r="I177" s="59"/>
      <c r="J177" s="59"/>
      <c r="K177" s="59"/>
      <c r="L177" s="59"/>
      <c r="M177" s="59"/>
      <c r="N177" s="59"/>
      <c r="O177" s="59"/>
    </row>
    <row r="178" spans="4:15">
      <c r="D178" s="59"/>
      <c r="E178" s="59"/>
      <c r="F178" s="59"/>
      <c r="G178" s="59"/>
      <c r="H178" s="59"/>
      <c r="I178" s="59"/>
      <c r="J178" s="59"/>
      <c r="K178" s="59"/>
      <c r="L178" s="59"/>
      <c r="M178" s="59"/>
      <c r="N178" s="59"/>
      <c r="O178" s="59"/>
    </row>
    <row r="179" spans="4:15">
      <c r="D179" s="59"/>
      <c r="E179" s="59"/>
      <c r="F179" s="59"/>
      <c r="G179" s="59"/>
      <c r="H179" s="59"/>
      <c r="I179" s="59"/>
      <c r="J179" s="59"/>
      <c r="K179" s="59"/>
      <c r="L179" s="59"/>
      <c r="M179" s="59"/>
      <c r="N179" s="59"/>
      <c r="O179" s="59"/>
    </row>
    <row r="180" spans="4:15">
      <c r="D180" s="59"/>
      <c r="E180" s="59"/>
      <c r="F180" s="59"/>
      <c r="G180" s="59"/>
      <c r="H180" s="59"/>
      <c r="I180" s="59"/>
      <c r="J180" s="59"/>
      <c r="K180" s="59"/>
      <c r="L180" s="59"/>
      <c r="M180" s="59"/>
      <c r="N180" s="59"/>
      <c r="O180" s="59"/>
    </row>
    <row r="181" spans="4:15">
      <c r="D181" s="59"/>
      <c r="E181" s="59"/>
      <c r="F181" s="59"/>
      <c r="G181" s="59"/>
      <c r="H181" s="59"/>
      <c r="I181" s="59"/>
      <c r="J181" s="59"/>
      <c r="K181" s="59"/>
      <c r="L181" s="59"/>
      <c r="M181" s="59"/>
      <c r="N181" s="59"/>
      <c r="O181" s="59"/>
    </row>
    <row r="182" spans="4:15">
      <c r="D182" s="59"/>
      <c r="E182" s="59"/>
      <c r="F182" s="59"/>
      <c r="G182" s="59"/>
      <c r="H182" s="59"/>
      <c r="I182" s="59"/>
      <c r="J182" s="59"/>
      <c r="K182" s="59"/>
      <c r="L182" s="59"/>
      <c r="M182" s="59"/>
      <c r="N182" s="59"/>
      <c r="O182" s="59"/>
    </row>
    <row r="183" spans="4:15">
      <c r="D183" s="59"/>
      <c r="E183" s="59"/>
      <c r="F183" s="59"/>
      <c r="G183" s="59"/>
      <c r="H183" s="59"/>
      <c r="I183" s="59"/>
      <c r="J183" s="59"/>
      <c r="K183" s="59"/>
      <c r="L183" s="59"/>
      <c r="M183" s="59"/>
      <c r="N183" s="59"/>
      <c r="O183" s="59"/>
    </row>
    <row r="184" spans="4:15">
      <c r="D184" s="59"/>
      <c r="E184" s="59"/>
      <c r="F184" s="59"/>
      <c r="G184" s="59"/>
      <c r="H184" s="59"/>
      <c r="I184" s="59"/>
      <c r="J184" s="59"/>
      <c r="K184" s="59"/>
      <c r="L184" s="59"/>
      <c r="M184" s="59"/>
      <c r="N184" s="59"/>
      <c r="O184" s="59"/>
    </row>
    <row r="185" spans="4:15">
      <c r="D185" s="59"/>
      <c r="E185" s="59"/>
      <c r="F185" s="59"/>
      <c r="G185" s="59"/>
      <c r="H185" s="59"/>
      <c r="I185" s="59"/>
      <c r="J185" s="59"/>
      <c r="K185" s="59"/>
      <c r="L185" s="59"/>
      <c r="M185" s="59"/>
      <c r="N185" s="59"/>
      <c r="O185" s="59"/>
    </row>
    <row r="186" spans="4:15">
      <c r="D186" s="59"/>
      <c r="E186" s="59"/>
      <c r="F186" s="59"/>
      <c r="G186" s="59"/>
      <c r="H186" s="59"/>
      <c r="I186" s="59"/>
      <c r="J186" s="59"/>
      <c r="K186" s="59"/>
      <c r="L186" s="59"/>
      <c r="M186" s="59"/>
      <c r="N186" s="59"/>
      <c r="O186" s="59"/>
    </row>
    <row r="187" spans="4:15">
      <c r="D187" s="59"/>
      <c r="E187" s="59"/>
      <c r="F187" s="59"/>
      <c r="G187" s="59"/>
      <c r="H187" s="59"/>
      <c r="I187" s="59"/>
      <c r="J187" s="59"/>
      <c r="K187" s="59"/>
      <c r="L187" s="59"/>
      <c r="M187" s="59"/>
      <c r="N187" s="59"/>
      <c r="O187" s="59"/>
    </row>
    <row r="188" spans="4:15">
      <c r="D188" s="59"/>
      <c r="E188" s="59"/>
      <c r="F188" s="59"/>
      <c r="G188" s="59"/>
      <c r="H188" s="59"/>
      <c r="I188" s="59"/>
      <c r="J188" s="59"/>
      <c r="K188" s="59"/>
      <c r="L188" s="59"/>
      <c r="M188" s="59"/>
      <c r="N188" s="59"/>
      <c r="O188" s="59"/>
    </row>
    <row r="189" spans="4:15">
      <c r="D189" s="59"/>
      <c r="E189" s="59"/>
      <c r="F189" s="59"/>
      <c r="G189" s="59"/>
      <c r="H189" s="59"/>
      <c r="I189" s="59"/>
      <c r="J189" s="59"/>
      <c r="K189" s="59"/>
      <c r="L189" s="59"/>
      <c r="M189" s="59"/>
      <c r="N189" s="59"/>
      <c r="O189" s="59"/>
    </row>
    <row r="190" spans="4:15">
      <c r="D190" s="59"/>
      <c r="E190" s="59"/>
      <c r="F190" s="59"/>
      <c r="G190" s="59"/>
      <c r="H190" s="59"/>
      <c r="I190" s="59"/>
      <c r="J190" s="59"/>
      <c r="K190" s="59"/>
      <c r="L190" s="59"/>
      <c r="M190" s="59"/>
      <c r="N190" s="59"/>
      <c r="O190" s="59"/>
    </row>
    <row r="191" spans="4:15">
      <c r="D191" s="59"/>
      <c r="E191" s="59"/>
      <c r="F191" s="59"/>
      <c r="G191" s="59"/>
      <c r="H191" s="59"/>
      <c r="I191" s="59"/>
      <c r="J191" s="59"/>
      <c r="K191" s="59"/>
      <c r="L191" s="59"/>
      <c r="M191" s="59"/>
      <c r="N191" s="59"/>
      <c r="O191" s="59"/>
    </row>
    <row r="192" spans="4:15">
      <c r="D192" s="59"/>
      <c r="E192" s="59"/>
      <c r="F192" s="59"/>
      <c r="G192" s="59"/>
      <c r="H192" s="59"/>
      <c r="I192" s="59"/>
      <c r="J192" s="59"/>
      <c r="K192" s="59"/>
      <c r="L192" s="59"/>
      <c r="M192" s="59"/>
      <c r="N192" s="59"/>
      <c r="O192" s="59"/>
    </row>
    <row r="193" spans="4:15">
      <c r="D193" s="59"/>
      <c r="E193" s="59"/>
      <c r="F193" s="59"/>
      <c r="G193" s="59"/>
      <c r="H193" s="59"/>
      <c r="I193" s="59"/>
      <c r="J193" s="59"/>
      <c r="K193" s="59"/>
      <c r="L193" s="59"/>
      <c r="M193" s="59"/>
      <c r="N193" s="59"/>
      <c r="O193" s="59"/>
    </row>
    <row r="194" spans="4:15">
      <c r="D194" s="59"/>
      <c r="E194" s="59"/>
      <c r="F194" s="59"/>
      <c r="G194" s="59"/>
      <c r="H194" s="59"/>
      <c r="I194" s="59"/>
      <c r="J194" s="59"/>
      <c r="K194" s="59"/>
      <c r="L194" s="59"/>
      <c r="M194" s="59"/>
      <c r="N194" s="59"/>
      <c r="O194" s="59"/>
    </row>
    <row r="195" spans="4:15">
      <c r="D195" s="59"/>
      <c r="E195" s="59"/>
      <c r="F195" s="59"/>
      <c r="G195" s="59"/>
      <c r="H195" s="59"/>
      <c r="I195" s="59"/>
      <c r="J195" s="59"/>
      <c r="K195" s="59"/>
      <c r="L195" s="59"/>
      <c r="M195" s="59"/>
      <c r="N195" s="59"/>
      <c r="O195" s="59"/>
    </row>
    <row r="196" spans="4:15">
      <c r="D196" s="59"/>
      <c r="E196" s="59"/>
      <c r="F196" s="59"/>
      <c r="G196" s="59"/>
      <c r="H196" s="59"/>
      <c r="I196" s="59"/>
      <c r="J196" s="59"/>
      <c r="K196" s="59"/>
      <c r="L196" s="59"/>
      <c r="M196" s="59"/>
      <c r="N196" s="59"/>
      <c r="O196" s="59"/>
    </row>
    <row r="197" spans="4:15">
      <c r="D197" s="59"/>
      <c r="E197" s="59"/>
      <c r="F197" s="59"/>
      <c r="G197" s="59"/>
      <c r="H197" s="59"/>
      <c r="I197" s="59"/>
      <c r="J197" s="59"/>
      <c r="K197" s="59"/>
      <c r="L197" s="59"/>
      <c r="M197" s="59"/>
      <c r="N197" s="59"/>
      <c r="O197" s="59"/>
    </row>
    <row r="198" spans="4:15">
      <c r="D198" s="59"/>
      <c r="E198" s="59"/>
      <c r="F198" s="59"/>
      <c r="G198" s="59"/>
      <c r="H198" s="59"/>
      <c r="I198" s="59"/>
      <c r="J198" s="59"/>
      <c r="K198" s="59"/>
      <c r="L198" s="59"/>
      <c r="M198" s="59"/>
      <c r="N198" s="59"/>
      <c r="O198" s="59"/>
    </row>
    <row r="199" spans="4:15">
      <c r="D199" s="59"/>
      <c r="E199" s="59"/>
      <c r="F199" s="59"/>
      <c r="G199" s="59"/>
      <c r="H199" s="59"/>
      <c r="I199" s="59"/>
      <c r="J199" s="59"/>
      <c r="K199" s="59"/>
      <c r="L199" s="59"/>
      <c r="M199" s="59"/>
      <c r="N199" s="59"/>
      <c r="O199" s="59"/>
    </row>
    <row r="200" spans="4:15">
      <c r="D200" s="59"/>
      <c r="E200" s="59"/>
      <c r="F200" s="59"/>
      <c r="G200" s="59"/>
      <c r="H200" s="59"/>
      <c r="I200" s="59"/>
      <c r="J200" s="59"/>
      <c r="K200" s="59"/>
      <c r="L200" s="59"/>
      <c r="M200" s="59"/>
      <c r="N200" s="59"/>
      <c r="O200" s="59"/>
    </row>
    <row r="201" spans="4:15">
      <c r="D201" s="59"/>
      <c r="E201" s="59"/>
      <c r="F201" s="59"/>
      <c r="G201" s="59"/>
      <c r="H201" s="59"/>
      <c r="I201" s="59"/>
      <c r="J201" s="59"/>
      <c r="K201" s="59"/>
      <c r="L201" s="59"/>
      <c r="M201" s="59"/>
      <c r="N201" s="59"/>
      <c r="O201" s="59"/>
    </row>
    <row r="202" spans="4:15">
      <c r="D202" s="59"/>
      <c r="E202" s="59"/>
      <c r="F202" s="59"/>
      <c r="G202" s="59"/>
      <c r="H202" s="59"/>
      <c r="I202" s="59"/>
      <c r="J202" s="59"/>
      <c r="K202" s="59"/>
      <c r="L202" s="59"/>
      <c r="M202" s="59"/>
      <c r="N202" s="59"/>
      <c r="O202" s="59"/>
    </row>
    <row r="203" spans="4:15">
      <c r="D203" s="59"/>
      <c r="E203" s="59"/>
      <c r="F203" s="59"/>
      <c r="G203" s="59"/>
      <c r="H203" s="59"/>
      <c r="I203" s="59"/>
      <c r="J203" s="59"/>
      <c r="K203" s="59"/>
      <c r="L203" s="59"/>
      <c r="M203" s="59"/>
      <c r="N203" s="59"/>
      <c r="O203" s="59"/>
    </row>
    <row r="204" spans="4:15">
      <c r="D204" s="59"/>
      <c r="E204" s="59"/>
      <c r="F204" s="59"/>
      <c r="G204" s="59"/>
      <c r="H204" s="59"/>
      <c r="I204" s="59"/>
      <c r="J204" s="59"/>
      <c r="K204" s="59"/>
      <c r="L204" s="59"/>
      <c r="M204" s="59"/>
      <c r="N204" s="59"/>
      <c r="O204" s="59"/>
    </row>
    <row r="205" spans="4:15">
      <c r="D205" s="59"/>
      <c r="E205" s="59"/>
      <c r="F205" s="59"/>
      <c r="G205" s="59"/>
      <c r="H205" s="59"/>
      <c r="I205" s="59"/>
      <c r="J205" s="59"/>
      <c r="K205" s="59"/>
      <c r="L205" s="59"/>
      <c r="M205" s="59"/>
      <c r="N205" s="59"/>
      <c r="O205" s="59"/>
    </row>
    <row r="206" spans="4:15">
      <c r="D206" s="59"/>
      <c r="E206" s="59"/>
      <c r="F206" s="59"/>
      <c r="G206" s="59"/>
      <c r="H206" s="59"/>
      <c r="I206" s="59"/>
      <c r="J206" s="59"/>
      <c r="K206" s="59"/>
      <c r="L206" s="59"/>
      <c r="M206" s="59"/>
      <c r="N206" s="59"/>
      <c r="O206" s="59"/>
    </row>
    <row r="207" spans="4:15">
      <c r="D207" s="59"/>
      <c r="E207" s="59"/>
      <c r="F207" s="59"/>
      <c r="G207" s="59"/>
      <c r="H207" s="59"/>
      <c r="I207" s="59"/>
      <c r="J207" s="59"/>
      <c r="K207" s="59"/>
      <c r="L207" s="59"/>
      <c r="M207" s="59"/>
      <c r="N207" s="59"/>
      <c r="O207" s="59"/>
    </row>
    <row r="208" spans="4:15">
      <c r="D208" s="59"/>
      <c r="E208" s="59"/>
      <c r="F208" s="59"/>
      <c r="G208" s="59"/>
      <c r="H208" s="59"/>
      <c r="I208" s="59"/>
      <c r="J208" s="59"/>
      <c r="K208" s="59"/>
      <c r="L208" s="59"/>
      <c r="M208" s="59"/>
      <c r="N208" s="59"/>
      <c r="O208" s="59"/>
    </row>
    <row r="209" spans="4:15">
      <c r="D209" s="59"/>
      <c r="E209" s="59"/>
      <c r="F209" s="59"/>
      <c r="G209" s="59"/>
      <c r="H209" s="59"/>
      <c r="I209" s="59"/>
      <c r="J209" s="59"/>
      <c r="K209" s="59"/>
      <c r="L209" s="59"/>
      <c r="M209" s="59"/>
      <c r="N209" s="59"/>
      <c r="O209" s="59"/>
    </row>
    <row r="210" spans="4:15">
      <c r="D210" s="59"/>
      <c r="E210" s="59"/>
      <c r="F210" s="59"/>
      <c r="G210" s="59"/>
      <c r="H210" s="59"/>
      <c r="I210" s="59"/>
      <c r="J210" s="59"/>
      <c r="K210" s="59"/>
      <c r="L210" s="59"/>
      <c r="M210" s="59"/>
      <c r="N210" s="59"/>
      <c r="O210" s="59"/>
    </row>
    <row r="211" spans="4:15">
      <c r="D211" s="59"/>
      <c r="E211" s="59"/>
      <c r="F211" s="59"/>
      <c r="G211" s="59"/>
      <c r="H211" s="59"/>
      <c r="I211" s="59"/>
      <c r="J211" s="59"/>
      <c r="K211" s="59"/>
      <c r="L211" s="59"/>
      <c r="M211" s="59"/>
      <c r="N211" s="59"/>
      <c r="O211" s="59"/>
    </row>
    <row r="212" spans="4:15">
      <c r="D212" s="59"/>
      <c r="E212" s="59"/>
      <c r="F212" s="59"/>
      <c r="G212" s="59"/>
      <c r="H212" s="59"/>
      <c r="I212" s="59"/>
      <c r="J212" s="59"/>
      <c r="K212" s="59"/>
      <c r="L212" s="59"/>
      <c r="M212" s="59"/>
      <c r="N212" s="59"/>
      <c r="O212" s="59"/>
    </row>
    <row r="213" spans="4:15">
      <c r="D213" s="59"/>
      <c r="E213" s="59"/>
      <c r="F213" s="59"/>
      <c r="G213" s="59"/>
      <c r="H213" s="59"/>
      <c r="I213" s="59"/>
      <c r="J213" s="59"/>
      <c r="K213" s="59"/>
      <c r="L213" s="59"/>
      <c r="M213" s="59"/>
      <c r="N213" s="59"/>
      <c r="O213" s="59"/>
    </row>
    <row r="214" spans="4:15">
      <c r="D214" s="59"/>
      <c r="E214" s="59"/>
      <c r="F214" s="59"/>
      <c r="G214" s="59"/>
      <c r="H214" s="59"/>
      <c r="I214" s="59"/>
      <c r="J214" s="59"/>
      <c r="K214" s="59"/>
      <c r="L214" s="59"/>
      <c r="M214" s="59"/>
      <c r="N214" s="59"/>
      <c r="O214" s="59"/>
    </row>
    <row r="215" spans="4:15">
      <c r="D215" s="59"/>
      <c r="E215" s="59"/>
      <c r="F215" s="59"/>
      <c r="G215" s="59"/>
      <c r="H215" s="59"/>
      <c r="I215" s="59"/>
      <c r="J215" s="59"/>
      <c r="K215" s="59"/>
      <c r="L215" s="59"/>
      <c r="M215" s="59"/>
      <c r="N215" s="59"/>
      <c r="O215" s="59"/>
    </row>
    <row r="216" spans="4:15">
      <c r="D216" s="59"/>
      <c r="E216" s="59"/>
      <c r="F216" s="59"/>
      <c r="G216" s="59"/>
      <c r="H216" s="59"/>
      <c r="I216" s="59"/>
      <c r="J216" s="59"/>
      <c r="K216" s="59"/>
      <c r="L216" s="59"/>
      <c r="M216" s="59"/>
      <c r="N216" s="59"/>
      <c r="O216" s="59"/>
    </row>
    <row r="217" spans="4:15">
      <c r="D217" s="59"/>
      <c r="E217" s="59"/>
      <c r="F217" s="59"/>
      <c r="G217" s="59"/>
      <c r="H217" s="59"/>
      <c r="I217" s="59"/>
      <c r="J217" s="59"/>
      <c r="K217" s="59"/>
      <c r="L217" s="59"/>
      <c r="M217" s="59"/>
      <c r="N217" s="59"/>
      <c r="O217" s="59"/>
    </row>
    <row r="218" spans="4:15">
      <c r="D218" s="59"/>
      <c r="E218" s="59"/>
      <c r="F218" s="59"/>
      <c r="G218" s="59"/>
      <c r="H218" s="59"/>
      <c r="I218" s="59"/>
      <c r="J218" s="59"/>
      <c r="K218" s="59"/>
      <c r="L218" s="59"/>
      <c r="M218" s="59"/>
      <c r="N218" s="59"/>
      <c r="O218" s="59"/>
    </row>
    <row r="219" spans="4:15">
      <c r="D219" s="59"/>
      <c r="E219" s="59"/>
      <c r="F219" s="59"/>
      <c r="G219" s="59"/>
      <c r="H219" s="59"/>
      <c r="I219" s="59"/>
      <c r="J219" s="59"/>
      <c r="K219" s="59"/>
      <c r="L219" s="59"/>
      <c r="M219" s="59"/>
      <c r="N219" s="59"/>
      <c r="O219" s="59"/>
    </row>
    <row r="220" spans="4:15">
      <c r="D220" s="59"/>
      <c r="E220" s="59"/>
      <c r="F220" s="59"/>
      <c r="G220" s="59"/>
      <c r="H220" s="59"/>
      <c r="I220" s="59"/>
      <c r="J220" s="59"/>
      <c r="K220" s="59"/>
      <c r="L220" s="59"/>
      <c r="M220" s="59"/>
      <c r="N220" s="59"/>
      <c r="O220" s="59"/>
    </row>
    <row r="221" spans="4:15">
      <c r="D221" s="59"/>
      <c r="E221" s="59"/>
      <c r="F221" s="59"/>
      <c r="G221" s="59"/>
      <c r="H221" s="59"/>
      <c r="I221" s="59"/>
      <c r="J221" s="59"/>
      <c r="K221" s="59"/>
      <c r="L221" s="59"/>
      <c r="M221" s="59"/>
      <c r="N221" s="59"/>
      <c r="O221" s="59"/>
    </row>
    <row r="222" spans="4:15">
      <c r="D222" s="59"/>
      <c r="E222" s="59"/>
      <c r="F222" s="59"/>
      <c r="G222" s="59"/>
      <c r="H222" s="59"/>
      <c r="I222" s="59"/>
      <c r="J222" s="59"/>
      <c r="K222" s="59"/>
      <c r="L222" s="59"/>
      <c r="M222" s="59"/>
      <c r="N222" s="59"/>
      <c r="O222" s="59"/>
    </row>
    <row r="223" spans="4:15">
      <c r="D223" s="59"/>
      <c r="E223" s="59"/>
      <c r="F223" s="59"/>
      <c r="G223" s="59"/>
      <c r="H223" s="59"/>
      <c r="I223" s="59"/>
      <c r="J223" s="59"/>
      <c r="K223" s="59"/>
      <c r="L223" s="59"/>
      <c r="M223" s="59"/>
      <c r="N223" s="59"/>
      <c r="O223" s="59"/>
    </row>
    <row r="224" spans="4:15">
      <c r="D224" s="59"/>
      <c r="E224" s="59"/>
      <c r="F224" s="59"/>
      <c r="G224" s="59"/>
      <c r="H224" s="59"/>
      <c r="I224" s="59"/>
      <c r="J224" s="59"/>
      <c r="K224" s="59"/>
      <c r="L224" s="59"/>
      <c r="M224" s="59"/>
      <c r="N224" s="59"/>
      <c r="O224" s="59"/>
    </row>
    <row r="225" spans="4:15">
      <c r="D225" s="59"/>
      <c r="E225" s="59"/>
      <c r="F225" s="59"/>
      <c r="G225" s="59"/>
      <c r="H225" s="59"/>
      <c r="I225" s="59"/>
      <c r="J225" s="59"/>
      <c r="K225" s="59"/>
      <c r="L225" s="59"/>
      <c r="M225" s="59"/>
      <c r="N225" s="59"/>
      <c r="O225" s="59"/>
    </row>
    <row r="226" spans="4:15">
      <c r="D226" s="59"/>
      <c r="E226" s="59"/>
      <c r="F226" s="59"/>
      <c r="G226" s="59"/>
      <c r="H226" s="59"/>
      <c r="I226" s="59"/>
      <c r="J226" s="59"/>
      <c r="K226" s="59"/>
      <c r="L226" s="59"/>
      <c r="M226" s="59"/>
      <c r="N226" s="59"/>
      <c r="O226" s="59"/>
    </row>
    <row r="227" spans="4:15">
      <c r="D227" s="59"/>
      <c r="E227" s="59"/>
      <c r="F227" s="59"/>
      <c r="G227" s="59"/>
      <c r="H227" s="59"/>
      <c r="I227" s="59"/>
      <c r="J227" s="59"/>
      <c r="K227" s="59"/>
      <c r="L227" s="59"/>
      <c r="M227" s="59"/>
      <c r="N227" s="59"/>
      <c r="O227" s="59"/>
    </row>
    <row r="228" spans="4:15">
      <c r="D228" s="59"/>
      <c r="E228" s="59"/>
      <c r="F228" s="59"/>
      <c r="G228" s="59"/>
      <c r="H228" s="59"/>
      <c r="I228" s="59"/>
      <c r="J228" s="59"/>
      <c r="K228" s="59"/>
      <c r="L228" s="59"/>
      <c r="M228" s="59"/>
      <c r="N228" s="59"/>
      <c r="O228" s="59"/>
    </row>
    <row r="229" spans="4:15">
      <c r="D229" s="59"/>
      <c r="E229" s="59"/>
      <c r="F229" s="59"/>
      <c r="G229" s="59"/>
      <c r="H229" s="59"/>
      <c r="I229" s="59"/>
      <c r="J229" s="59"/>
      <c r="K229" s="59"/>
      <c r="L229" s="59"/>
      <c r="M229" s="59"/>
      <c r="N229" s="59"/>
      <c r="O229" s="59"/>
    </row>
    <row r="230" spans="4:15">
      <c r="D230" s="59"/>
      <c r="E230" s="59"/>
      <c r="F230" s="59"/>
      <c r="G230" s="59"/>
      <c r="H230" s="59"/>
      <c r="I230" s="59"/>
      <c r="J230" s="59"/>
      <c r="K230" s="59"/>
      <c r="L230" s="59"/>
      <c r="M230" s="59"/>
      <c r="N230" s="59"/>
      <c r="O230" s="59"/>
    </row>
    <row r="231" spans="4:15">
      <c r="D231" s="59"/>
      <c r="E231" s="59"/>
      <c r="F231" s="59"/>
      <c r="G231" s="59"/>
      <c r="H231" s="59"/>
      <c r="I231" s="59"/>
      <c r="J231" s="59"/>
      <c r="K231" s="59"/>
      <c r="L231" s="59"/>
      <c r="M231" s="59"/>
      <c r="N231" s="59"/>
      <c r="O231" s="59"/>
    </row>
    <row r="232" spans="4:15">
      <c r="D232" s="59"/>
      <c r="E232" s="59"/>
      <c r="F232" s="59"/>
      <c r="G232" s="59"/>
      <c r="H232" s="59"/>
      <c r="I232" s="59"/>
      <c r="J232" s="59"/>
      <c r="K232" s="59"/>
      <c r="L232" s="59"/>
      <c r="M232" s="59"/>
      <c r="N232" s="59"/>
      <c r="O232" s="59"/>
    </row>
    <row r="233" spans="4:15">
      <c r="D233" s="59"/>
      <c r="E233" s="59"/>
      <c r="F233" s="59"/>
      <c r="G233" s="59"/>
      <c r="H233" s="59"/>
      <c r="I233" s="59"/>
      <c r="J233" s="59"/>
      <c r="K233" s="59"/>
      <c r="L233" s="59"/>
      <c r="M233" s="59"/>
      <c r="N233" s="59"/>
      <c r="O233" s="59"/>
    </row>
    <row r="234" spans="4:15">
      <c r="D234" s="59"/>
      <c r="E234" s="59"/>
      <c r="F234" s="59"/>
      <c r="G234" s="59"/>
      <c r="H234" s="59"/>
      <c r="I234" s="59"/>
      <c r="J234" s="59"/>
      <c r="K234" s="59"/>
      <c r="L234" s="59"/>
      <c r="M234" s="59"/>
      <c r="N234" s="59"/>
      <c r="O234" s="59"/>
    </row>
    <row r="235" spans="4:15">
      <c r="D235" s="59"/>
      <c r="E235" s="59"/>
      <c r="F235" s="59"/>
      <c r="G235" s="59"/>
      <c r="H235" s="59"/>
      <c r="I235" s="59"/>
      <c r="J235" s="59"/>
      <c r="K235" s="59"/>
      <c r="L235" s="59"/>
      <c r="M235" s="59"/>
      <c r="N235" s="59"/>
      <c r="O235" s="59"/>
    </row>
    <row r="236" spans="4:15">
      <c r="D236" s="59"/>
      <c r="E236" s="59"/>
      <c r="F236" s="59"/>
      <c r="G236" s="59"/>
      <c r="H236" s="59"/>
      <c r="I236" s="59"/>
      <c r="J236" s="59"/>
      <c r="K236" s="59"/>
      <c r="L236" s="59"/>
      <c r="M236" s="59"/>
      <c r="N236" s="59"/>
      <c r="O236" s="59"/>
    </row>
    <row r="237" spans="4:15">
      <c r="D237" s="59"/>
      <c r="E237" s="59"/>
      <c r="F237" s="59"/>
      <c r="G237" s="59"/>
      <c r="H237" s="59"/>
      <c r="I237" s="59"/>
      <c r="J237" s="59"/>
      <c r="K237" s="59"/>
      <c r="L237" s="59"/>
      <c r="M237" s="59"/>
      <c r="N237" s="59"/>
      <c r="O237" s="59"/>
    </row>
    <row r="238" spans="4:15">
      <c r="D238" s="59"/>
      <c r="E238" s="59"/>
      <c r="F238" s="59"/>
      <c r="G238" s="59"/>
      <c r="H238" s="59"/>
      <c r="I238" s="59"/>
      <c r="J238" s="59"/>
      <c r="K238" s="59"/>
      <c r="L238" s="59"/>
      <c r="M238" s="59"/>
      <c r="N238" s="59"/>
      <c r="O238" s="59"/>
    </row>
    <row r="239" spans="4:15">
      <c r="D239" s="59"/>
      <c r="E239" s="59"/>
      <c r="F239" s="59"/>
      <c r="G239" s="59"/>
      <c r="H239" s="59"/>
      <c r="I239" s="59"/>
      <c r="J239" s="59"/>
      <c r="K239" s="59"/>
      <c r="L239" s="59"/>
      <c r="M239" s="59"/>
      <c r="N239" s="59"/>
      <c r="O239" s="59"/>
    </row>
    <row r="240" spans="4:15">
      <c r="D240" s="59"/>
      <c r="E240" s="59"/>
      <c r="F240" s="59"/>
      <c r="G240" s="59"/>
      <c r="H240" s="59"/>
      <c r="I240" s="59"/>
      <c r="J240" s="59"/>
      <c r="K240" s="59"/>
      <c r="L240" s="59"/>
      <c r="M240" s="59"/>
      <c r="N240" s="59"/>
      <c r="O240" s="59"/>
    </row>
    <row r="241" spans="4:15">
      <c r="D241" s="59"/>
      <c r="E241" s="59"/>
      <c r="F241" s="59"/>
      <c r="G241" s="59"/>
      <c r="H241" s="59"/>
      <c r="I241" s="59"/>
      <c r="J241" s="59"/>
      <c r="K241" s="59"/>
      <c r="L241" s="59"/>
      <c r="M241" s="59"/>
      <c r="N241" s="59"/>
      <c r="O241" s="59"/>
    </row>
    <row r="242" spans="4:15">
      <c r="D242" s="59"/>
      <c r="E242" s="59"/>
      <c r="F242" s="59"/>
      <c r="G242" s="59"/>
      <c r="H242" s="59"/>
      <c r="I242" s="59"/>
      <c r="J242" s="59"/>
      <c r="K242" s="59"/>
      <c r="L242" s="59"/>
      <c r="M242" s="59"/>
      <c r="N242" s="59"/>
      <c r="O242" s="59"/>
    </row>
    <row r="243" spans="4:15">
      <c r="D243" s="59"/>
      <c r="E243" s="59"/>
      <c r="F243" s="59"/>
      <c r="G243" s="59"/>
      <c r="H243" s="59"/>
      <c r="I243" s="59"/>
      <c r="J243" s="59"/>
      <c r="K243" s="59"/>
      <c r="L243" s="59"/>
      <c r="M243" s="59"/>
      <c r="N243" s="59"/>
      <c r="O243" s="59"/>
    </row>
    <row r="244" spans="4:15">
      <c r="D244" s="59"/>
      <c r="E244" s="59"/>
      <c r="F244" s="59"/>
      <c r="G244" s="59"/>
      <c r="H244" s="59"/>
      <c r="I244" s="59"/>
      <c r="J244" s="59"/>
      <c r="K244" s="59"/>
      <c r="L244" s="59"/>
      <c r="M244" s="59"/>
      <c r="N244" s="59"/>
      <c r="O244" s="59"/>
    </row>
    <row r="245" spans="4:15">
      <c r="D245" s="59"/>
      <c r="E245" s="59"/>
      <c r="F245" s="59"/>
      <c r="G245" s="59"/>
      <c r="H245" s="59"/>
      <c r="I245" s="59"/>
      <c r="J245" s="59"/>
      <c r="K245" s="59"/>
      <c r="L245" s="59"/>
      <c r="M245" s="59"/>
      <c r="N245" s="59"/>
      <c r="O245" s="59"/>
    </row>
    <row r="246" spans="4:15">
      <c r="D246" s="59"/>
      <c r="E246" s="59"/>
      <c r="F246" s="59"/>
      <c r="G246" s="59"/>
      <c r="H246" s="59"/>
      <c r="I246" s="59"/>
      <c r="J246" s="59"/>
      <c r="K246" s="59"/>
      <c r="L246" s="59"/>
      <c r="M246" s="59"/>
      <c r="N246" s="59"/>
      <c r="O246" s="59"/>
    </row>
    <row r="247" spans="4:15">
      <c r="D247" s="59"/>
      <c r="E247" s="59"/>
      <c r="F247" s="59"/>
      <c r="G247" s="59"/>
      <c r="H247" s="59"/>
      <c r="I247" s="59"/>
      <c r="J247" s="59"/>
      <c r="K247" s="59"/>
      <c r="L247" s="59"/>
      <c r="M247" s="59"/>
      <c r="N247" s="59"/>
      <c r="O247" s="59"/>
    </row>
    <row r="248" spans="4:15">
      <c r="D248" s="59"/>
      <c r="E248" s="59"/>
      <c r="F248" s="59"/>
      <c r="G248" s="59"/>
      <c r="H248" s="59"/>
      <c r="I248" s="59"/>
      <c r="J248" s="59"/>
      <c r="K248" s="59"/>
      <c r="L248" s="59"/>
      <c r="M248" s="59"/>
      <c r="N248" s="59"/>
      <c r="O248" s="59"/>
    </row>
    <row r="249" spans="4:15">
      <c r="D249" s="59"/>
      <c r="E249" s="59"/>
      <c r="F249" s="59"/>
      <c r="G249" s="59"/>
      <c r="H249" s="59"/>
      <c r="I249" s="59"/>
      <c r="J249" s="59"/>
      <c r="K249" s="59"/>
      <c r="L249" s="59"/>
      <c r="M249" s="59"/>
      <c r="N249" s="59"/>
      <c r="O249" s="59"/>
    </row>
    <row r="250" spans="4:15">
      <c r="D250" s="59"/>
      <c r="E250" s="59"/>
      <c r="F250" s="59"/>
      <c r="G250" s="59"/>
      <c r="H250" s="59"/>
      <c r="I250" s="59"/>
      <c r="J250" s="59"/>
      <c r="K250" s="59"/>
      <c r="L250" s="59"/>
      <c r="M250" s="59"/>
      <c r="N250" s="59"/>
      <c r="O250" s="59"/>
    </row>
    <row r="251" spans="4:15">
      <c r="D251" s="59"/>
      <c r="E251" s="59"/>
      <c r="F251" s="59"/>
      <c r="G251" s="59"/>
      <c r="H251" s="59"/>
      <c r="I251" s="59"/>
      <c r="J251" s="59"/>
      <c r="K251" s="59"/>
      <c r="L251" s="59"/>
      <c r="M251" s="59"/>
      <c r="N251" s="59"/>
      <c r="O251" s="59"/>
    </row>
    <row r="252" spans="4:15">
      <c r="D252" s="59"/>
      <c r="E252" s="59"/>
      <c r="F252" s="59"/>
      <c r="G252" s="59"/>
      <c r="H252" s="59"/>
      <c r="I252" s="59"/>
      <c r="J252" s="59"/>
      <c r="K252" s="59"/>
      <c r="L252" s="59"/>
      <c r="M252" s="59"/>
      <c r="N252" s="59"/>
      <c r="O252" s="59"/>
    </row>
    <row r="253" spans="4:15">
      <c r="D253" s="59"/>
      <c r="E253" s="59"/>
      <c r="F253" s="59"/>
      <c r="G253" s="59"/>
      <c r="H253" s="59"/>
      <c r="I253" s="59"/>
      <c r="J253" s="59"/>
      <c r="K253" s="59"/>
      <c r="L253" s="59"/>
      <c r="M253" s="59"/>
      <c r="N253" s="59"/>
      <c r="O253" s="59"/>
    </row>
    <row r="254" spans="4:15">
      <c r="D254" s="59"/>
      <c r="E254" s="59"/>
      <c r="F254" s="59"/>
      <c r="G254" s="59"/>
      <c r="H254" s="59"/>
      <c r="I254" s="59"/>
      <c r="J254" s="59"/>
      <c r="K254" s="59"/>
      <c r="L254" s="59"/>
      <c r="M254" s="59"/>
      <c r="N254" s="59"/>
      <c r="O254" s="59"/>
    </row>
    <row r="255" spans="4:15">
      <c r="D255" s="59"/>
      <c r="E255" s="59"/>
      <c r="F255" s="59"/>
      <c r="G255" s="59"/>
      <c r="H255" s="59"/>
      <c r="I255" s="59"/>
      <c r="J255" s="59"/>
      <c r="K255" s="59"/>
      <c r="L255" s="59"/>
      <c r="M255" s="59"/>
      <c r="N255" s="59"/>
      <c r="O255" s="59"/>
    </row>
    <row r="256" spans="4:15">
      <c r="D256" s="59"/>
      <c r="E256" s="59"/>
      <c r="F256" s="59"/>
      <c r="G256" s="59"/>
      <c r="H256" s="59"/>
      <c r="I256" s="59"/>
      <c r="J256" s="59"/>
      <c r="K256" s="59"/>
      <c r="L256" s="59"/>
      <c r="M256" s="59"/>
      <c r="N256" s="59"/>
      <c r="O256" s="59"/>
    </row>
    <row r="257" spans="4:15">
      <c r="D257" s="59"/>
      <c r="E257" s="59"/>
      <c r="F257" s="59"/>
      <c r="G257" s="59"/>
      <c r="H257" s="59"/>
      <c r="I257" s="59"/>
      <c r="J257" s="59"/>
      <c r="K257" s="59"/>
      <c r="L257" s="59"/>
      <c r="M257" s="59"/>
      <c r="N257" s="59"/>
      <c r="O257" s="59"/>
    </row>
    <row r="258" spans="4:15">
      <c r="D258" s="59"/>
      <c r="E258" s="59"/>
      <c r="F258" s="59"/>
      <c r="G258" s="59"/>
      <c r="H258" s="59"/>
      <c r="I258" s="59"/>
      <c r="J258" s="59"/>
      <c r="K258" s="59"/>
      <c r="L258" s="59"/>
      <c r="M258" s="59"/>
      <c r="N258" s="59"/>
      <c r="O258" s="59"/>
    </row>
    <row r="259" spans="4:15">
      <c r="D259" s="59"/>
      <c r="E259" s="59"/>
      <c r="F259" s="59"/>
      <c r="G259" s="59"/>
      <c r="H259" s="59"/>
      <c r="I259" s="59"/>
      <c r="J259" s="59"/>
      <c r="K259" s="59"/>
      <c r="L259" s="59"/>
      <c r="M259" s="59"/>
      <c r="N259" s="59"/>
      <c r="O259" s="59"/>
    </row>
    <row r="260" spans="4:15">
      <c r="D260" s="59"/>
      <c r="E260" s="59"/>
      <c r="F260" s="59"/>
      <c r="G260" s="59"/>
      <c r="H260" s="59"/>
      <c r="I260" s="59"/>
      <c r="J260" s="59"/>
      <c r="K260" s="59"/>
      <c r="L260" s="59"/>
      <c r="M260" s="59"/>
      <c r="N260" s="59"/>
      <c r="O260" s="59"/>
    </row>
    <row r="261" spans="4:15">
      <c r="D261" s="59"/>
      <c r="E261" s="59"/>
      <c r="F261" s="59"/>
      <c r="G261" s="59"/>
      <c r="H261" s="59"/>
      <c r="I261" s="59"/>
      <c r="J261" s="59"/>
      <c r="K261" s="59"/>
      <c r="L261" s="59"/>
      <c r="M261" s="59"/>
      <c r="N261" s="59"/>
      <c r="O261" s="59"/>
    </row>
    <row r="262" spans="4:15">
      <c r="D262" s="59"/>
      <c r="E262" s="59"/>
      <c r="F262" s="59"/>
      <c r="G262" s="59"/>
      <c r="H262" s="59"/>
      <c r="I262" s="59"/>
      <c r="J262" s="59"/>
      <c r="K262" s="59"/>
      <c r="L262" s="59"/>
      <c r="M262" s="59"/>
      <c r="N262" s="59"/>
      <c r="O262" s="59"/>
    </row>
    <row r="263" spans="4:15">
      <c r="D263" s="59"/>
      <c r="E263" s="59"/>
      <c r="F263" s="59"/>
      <c r="G263" s="59"/>
      <c r="H263" s="59"/>
      <c r="I263" s="59"/>
      <c r="J263" s="59"/>
      <c r="K263" s="59"/>
      <c r="L263" s="59"/>
      <c r="M263" s="59"/>
      <c r="N263" s="59"/>
      <c r="O263" s="59"/>
    </row>
    <row r="264" spans="4:15">
      <c r="D264" s="59"/>
      <c r="E264" s="59"/>
      <c r="F264" s="59"/>
      <c r="G264" s="59"/>
      <c r="H264" s="59"/>
      <c r="I264" s="59"/>
      <c r="J264" s="59"/>
      <c r="K264" s="59"/>
      <c r="L264" s="59"/>
      <c r="M264" s="59"/>
      <c r="N264" s="59"/>
      <c r="O264" s="59"/>
    </row>
    <row r="265" spans="4:15">
      <c r="D265" s="59"/>
      <c r="E265" s="59"/>
      <c r="F265" s="59"/>
      <c r="G265" s="59"/>
      <c r="H265" s="59"/>
      <c r="I265" s="59"/>
      <c r="J265" s="59"/>
      <c r="K265" s="59"/>
      <c r="L265" s="59"/>
      <c r="M265" s="59"/>
      <c r="N265" s="59"/>
      <c r="O265" s="59"/>
    </row>
    <row r="266" spans="4:15">
      <c r="D266" s="59"/>
      <c r="E266" s="59"/>
      <c r="F266" s="59"/>
      <c r="G266" s="59"/>
      <c r="H266" s="59"/>
      <c r="I266" s="59"/>
      <c r="J266" s="59"/>
      <c r="K266" s="59"/>
      <c r="L266" s="59"/>
      <c r="M266" s="59"/>
      <c r="N266" s="59"/>
      <c r="O266" s="59"/>
    </row>
    <row r="267" spans="4:15">
      <c r="D267" s="59"/>
      <c r="E267" s="59"/>
      <c r="F267" s="59"/>
      <c r="G267" s="59"/>
      <c r="H267" s="59"/>
      <c r="I267" s="59"/>
      <c r="J267" s="59"/>
      <c r="K267" s="59"/>
      <c r="L267" s="59"/>
      <c r="M267" s="59"/>
      <c r="N267" s="59"/>
      <c r="O267" s="59"/>
    </row>
    <row r="268" spans="4:15">
      <c r="D268" s="59"/>
      <c r="E268" s="59"/>
      <c r="F268" s="59"/>
      <c r="G268" s="59"/>
      <c r="H268" s="59"/>
      <c r="I268" s="59"/>
      <c r="J268" s="59"/>
      <c r="K268" s="59"/>
      <c r="L268" s="59"/>
      <c r="M268" s="59"/>
      <c r="N268" s="59"/>
      <c r="O268" s="59"/>
    </row>
    <row r="269" spans="4:15">
      <c r="D269" s="59"/>
      <c r="E269" s="59"/>
      <c r="F269" s="59"/>
      <c r="G269" s="59"/>
      <c r="H269" s="59"/>
      <c r="I269" s="59"/>
      <c r="J269" s="59"/>
      <c r="K269" s="59"/>
      <c r="L269" s="59"/>
      <c r="M269" s="59"/>
      <c r="N269" s="59"/>
      <c r="O269" s="59"/>
    </row>
    <row r="270" spans="4:15">
      <c r="D270" s="59"/>
      <c r="E270" s="59"/>
      <c r="F270" s="59"/>
      <c r="G270" s="59"/>
      <c r="H270" s="59"/>
      <c r="I270" s="59"/>
      <c r="J270" s="59"/>
      <c r="K270" s="59"/>
      <c r="L270" s="59"/>
      <c r="M270" s="59"/>
      <c r="N270" s="59"/>
      <c r="O270" s="59"/>
    </row>
    <row r="271" spans="4:15">
      <c r="D271" s="59"/>
      <c r="E271" s="59"/>
      <c r="F271" s="59"/>
      <c r="G271" s="59"/>
      <c r="H271" s="59"/>
      <c r="I271" s="59"/>
      <c r="J271" s="59"/>
      <c r="K271" s="59"/>
      <c r="L271" s="59"/>
      <c r="M271" s="59"/>
      <c r="N271" s="59"/>
      <c r="O271" s="59"/>
    </row>
    <row r="272" spans="4:15">
      <c r="D272" s="59"/>
      <c r="E272" s="59"/>
      <c r="F272" s="59"/>
      <c r="G272" s="59"/>
      <c r="H272" s="59"/>
      <c r="I272" s="59"/>
      <c r="J272" s="59"/>
      <c r="K272" s="59"/>
      <c r="L272" s="59"/>
      <c r="M272" s="59"/>
      <c r="N272" s="59"/>
      <c r="O272" s="59"/>
    </row>
    <row r="273" spans="4:15">
      <c r="D273" s="59"/>
      <c r="E273" s="59"/>
      <c r="F273" s="59"/>
      <c r="G273" s="59"/>
      <c r="H273" s="59"/>
      <c r="I273" s="59"/>
      <c r="J273" s="59"/>
      <c r="K273" s="59"/>
      <c r="L273" s="59"/>
      <c r="M273" s="59"/>
      <c r="N273" s="59"/>
      <c r="O273" s="59"/>
    </row>
    <row r="274" spans="4:15">
      <c r="D274" s="59"/>
      <c r="E274" s="59"/>
      <c r="F274" s="59"/>
      <c r="G274" s="59"/>
      <c r="H274" s="59"/>
      <c r="I274" s="59"/>
      <c r="J274" s="59"/>
      <c r="K274" s="59"/>
      <c r="L274" s="59"/>
      <c r="M274" s="59"/>
      <c r="N274" s="59"/>
      <c r="O274" s="59"/>
    </row>
    <row r="275" spans="4:15">
      <c r="D275" s="59"/>
      <c r="E275" s="59"/>
      <c r="F275" s="59"/>
      <c r="G275" s="59"/>
      <c r="H275" s="59"/>
      <c r="I275" s="59"/>
      <c r="J275" s="59"/>
      <c r="K275" s="59"/>
      <c r="L275" s="59"/>
      <c r="M275" s="59"/>
      <c r="N275" s="59"/>
      <c r="O275" s="59"/>
    </row>
    <row r="276" spans="4:15">
      <c r="D276" s="59"/>
      <c r="E276" s="59"/>
      <c r="F276" s="59"/>
      <c r="G276" s="59"/>
      <c r="H276" s="59"/>
      <c r="I276" s="59"/>
      <c r="J276" s="59"/>
      <c r="K276" s="59"/>
      <c r="L276" s="59"/>
      <c r="M276" s="59"/>
      <c r="N276" s="59"/>
      <c r="O276" s="59"/>
    </row>
    <row r="277" spans="4:15">
      <c r="D277" s="59"/>
      <c r="E277" s="59"/>
      <c r="F277" s="59"/>
      <c r="G277" s="59"/>
      <c r="H277" s="59"/>
      <c r="I277" s="59"/>
      <c r="J277" s="59"/>
      <c r="K277" s="59"/>
      <c r="L277" s="59"/>
      <c r="M277" s="59"/>
      <c r="N277" s="59"/>
      <c r="O277" s="59"/>
    </row>
    <row r="278" spans="4:15">
      <c r="D278" s="59"/>
      <c r="E278" s="59"/>
      <c r="F278" s="59"/>
      <c r="G278" s="59"/>
      <c r="H278" s="59"/>
      <c r="I278" s="59"/>
      <c r="J278" s="59"/>
      <c r="K278" s="59"/>
      <c r="L278" s="59"/>
      <c r="M278" s="59"/>
      <c r="N278" s="59"/>
      <c r="O278" s="59"/>
    </row>
    <row r="279" spans="4:15">
      <c r="D279" s="59"/>
      <c r="E279" s="59"/>
      <c r="F279" s="59"/>
      <c r="G279" s="59"/>
      <c r="H279" s="59"/>
      <c r="I279" s="59"/>
      <c r="J279" s="59"/>
      <c r="K279" s="59"/>
      <c r="L279" s="59"/>
      <c r="M279" s="59"/>
      <c r="N279" s="59"/>
      <c r="O279" s="59"/>
    </row>
    <row r="280" spans="4:15">
      <c r="D280" s="59"/>
      <c r="E280" s="59"/>
      <c r="F280" s="59"/>
      <c r="G280" s="59"/>
      <c r="H280" s="59"/>
      <c r="I280" s="59"/>
      <c r="J280" s="59"/>
      <c r="K280" s="59"/>
      <c r="L280" s="59"/>
      <c r="M280" s="59"/>
      <c r="N280" s="59"/>
      <c r="O280" s="59"/>
    </row>
    <row r="281" spans="4:15">
      <c r="D281" s="59"/>
      <c r="E281" s="59"/>
      <c r="F281" s="59"/>
      <c r="G281" s="59"/>
      <c r="H281" s="59"/>
      <c r="I281" s="59"/>
      <c r="J281" s="59"/>
      <c r="K281" s="59"/>
      <c r="L281" s="59"/>
      <c r="M281" s="59"/>
      <c r="N281" s="59"/>
      <c r="O281" s="59"/>
    </row>
    <row r="282" spans="4:15">
      <c r="D282" s="59"/>
      <c r="E282" s="59"/>
      <c r="F282" s="59"/>
      <c r="G282" s="59"/>
      <c r="H282" s="59"/>
      <c r="I282" s="59"/>
      <c r="J282" s="59"/>
      <c r="K282" s="59"/>
      <c r="L282" s="59"/>
      <c r="M282" s="59"/>
      <c r="N282" s="59"/>
      <c r="O282" s="59"/>
    </row>
    <row r="283" spans="4:15">
      <c r="D283" s="59"/>
      <c r="E283" s="59"/>
      <c r="F283" s="59"/>
      <c r="G283" s="59"/>
      <c r="H283" s="59"/>
      <c r="I283" s="59"/>
      <c r="J283" s="59"/>
      <c r="K283" s="59"/>
      <c r="L283" s="59"/>
      <c r="M283" s="59"/>
      <c r="N283" s="59"/>
      <c r="O283" s="59"/>
    </row>
    <row r="284" spans="4:15">
      <c r="D284" s="59"/>
      <c r="E284" s="59"/>
      <c r="F284" s="59"/>
      <c r="G284" s="59"/>
      <c r="H284" s="59"/>
      <c r="I284" s="59"/>
      <c r="J284" s="59"/>
      <c r="K284" s="59"/>
      <c r="L284" s="59"/>
      <c r="M284" s="59"/>
      <c r="N284" s="59"/>
      <c r="O284" s="59"/>
    </row>
    <row r="285" spans="4:15">
      <c r="D285" s="59"/>
      <c r="E285" s="59"/>
      <c r="F285" s="59"/>
      <c r="G285" s="59"/>
      <c r="H285" s="59"/>
      <c r="I285" s="59"/>
      <c r="J285" s="59"/>
      <c r="K285" s="59"/>
      <c r="L285" s="59"/>
      <c r="M285" s="59"/>
      <c r="N285" s="59"/>
      <c r="O285" s="59"/>
    </row>
    <row r="286" spans="4:15">
      <c r="D286" s="59"/>
      <c r="E286" s="59"/>
      <c r="F286" s="59"/>
      <c r="G286" s="59"/>
      <c r="H286" s="59"/>
      <c r="I286" s="59"/>
      <c r="J286" s="59"/>
      <c r="K286" s="59"/>
      <c r="L286" s="59"/>
      <c r="M286" s="59"/>
      <c r="N286" s="59"/>
      <c r="O286" s="59"/>
    </row>
    <row r="287" spans="4:15">
      <c r="D287" s="59"/>
      <c r="E287" s="59"/>
      <c r="F287" s="59"/>
      <c r="G287" s="59"/>
      <c r="H287" s="59"/>
      <c r="I287" s="59"/>
      <c r="J287" s="59"/>
      <c r="K287" s="59"/>
      <c r="L287" s="59"/>
      <c r="M287" s="59"/>
      <c r="N287" s="59"/>
      <c r="O287" s="59"/>
    </row>
    <row r="288" spans="4:15">
      <c r="D288" s="59"/>
      <c r="E288" s="59"/>
      <c r="F288" s="59"/>
      <c r="G288" s="59"/>
      <c r="H288" s="59"/>
      <c r="I288" s="59"/>
      <c r="J288" s="59"/>
      <c r="K288" s="59"/>
      <c r="L288" s="59"/>
      <c r="M288" s="59"/>
      <c r="N288" s="59"/>
      <c r="O288" s="59"/>
    </row>
    <row r="289" spans="4:15">
      <c r="D289" s="59"/>
      <c r="E289" s="59"/>
      <c r="F289" s="59"/>
      <c r="G289" s="59"/>
      <c r="H289" s="59"/>
      <c r="I289" s="59"/>
      <c r="J289" s="59"/>
      <c r="K289" s="59"/>
      <c r="L289" s="59"/>
      <c r="M289" s="59"/>
      <c r="N289" s="59"/>
      <c r="O289" s="59"/>
    </row>
    <row r="290" spans="4:15">
      <c r="D290" s="59"/>
      <c r="E290" s="59"/>
      <c r="F290" s="59"/>
      <c r="G290" s="59"/>
      <c r="H290" s="59"/>
      <c r="I290" s="59"/>
      <c r="J290" s="59"/>
      <c r="K290" s="59"/>
      <c r="L290" s="59"/>
      <c r="M290" s="59"/>
      <c r="N290" s="59"/>
      <c r="O290" s="59"/>
    </row>
    <row r="291" spans="4:15">
      <c r="D291" s="59"/>
      <c r="E291" s="59"/>
      <c r="F291" s="59"/>
      <c r="G291" s="59"/>
      <c r="H291" s="59"/>
      <c r="I291" s="59"/>
      <c r="J291" s="59"/>
      <c r="K291" s="59"/>
      <c r="L291" s="59"/>
      <c r="M291" s="59"/>
      <c r="N291" s="59"/>
      <c r="O291" s="59"/>
    </row>
    <row r="292" spans="4:15">
      <c r="D292" s="59"/>
      <c r="E292" s="59"/>
      <c r="F292" s="59"/>
      <c r="G292" s="59"/>
      <c r="H292" s="59"/>
      <c r="I292" s="59"/>
      <c r="J292" s="59"/>
      <c r="K292" s="59"/>
      <c r="L292" s="59"/>
      <c r="M292" s="59"/>
      <c r="N292" s="59"/>
      <c r="O292" s="59"/>
    </row>
    <row r="293" spans="4:15">
      <c r="D293" s="59"/>
      <c r="E293" s="59"/>
      <c r="F293" s="59"/>
      <c r="G293" s="59"/>
      <c r="H293" s="59"/>
      <c r="I293" s="59"/>
      <c r="J293" s="59"/>
      <c r="K293" s="59"/>
      <c r="L293" s="59"/>
      <c r="M293" s="59"/>
      <c r="N293" s="59"/>
      <c r="O293" s="59"/>
    </row>
    <row r="294" spans="4:15">
      <c r="D294" s="59"/>
      <c r="E294" s="59"/>
      <c r="F294" s="59"/>
      <c r="G294" s="59"/>
      <c r="H294" s="59"/>
      <c r="I294" s="59"/>
      <c r="J294" s="59"/>
      <c r="K294" s="59"/>
      <c r="L294" s="59"/>
      <c r="M294" s="59"/>
      <c r="N294" s="59"/>
      <c r="O294" s="59"/>
    </row>
    <row r="295" spans="4:15">
      <c r="D295" s="59"/>
      <c r="E295" s="59"/>
      <c r="F295" s="59"/>
      <c r="G295" s="59"/>
      <c r="H295" s="59"/>
      <c r="I295" s="59"/>
      <c r="J295" s="59"/>
      <c r="K295" s="59"/>
      <c r="L295" s="59"/>
      <c r="M295" s="59"/>
      <c r="N295" s="59"/>
      <c r="O295" s="59"/>
    </row>
    <row r="296" spans="4:15">
      <c r="D296" s="59"/>
      <c r="E296" s="59"/>
      <c r="F296" s="59"/>
      <c r="G296" s="59"/>
      <c r="H296" s="59"/>
      <c r="I296" s="59"/>
      <c r="J296" s="59"/>
      <c r="K296" s="59"/>
      <c r="L296" s="59"/>
      <c r="M296" s="59"/>
      <c r="N296" s="59"/>
      <c r="O296" s="59"/>
    </row>
    <row r="297" spans="4:15">
      <c r="D297" s="59"/>
      <c r="E297" s="59"/>
      <c r="F297" s="59"/>
      <c r="G297" s="59"/>
      <c r="H297" s="59"/>
      <c r="I297" s="59"/>
      <c r="J297" s="59"/>
      <c r="K297" s="59"/>
      <c r="L297" s="59"/>
      <c r="M297" s="59"/>
      <c r="N297" s="59"/>
      <c r="O297" s="59"/>
    </row>
    <row r="298" spans="4:15">
      <c r="D298" s="59"/>
      <c r="E298" s="59"/>
      <c r="F298" s="59"/>
      <c r="G298" s="59"/>
      <c r="H298" s="59"/>
      <c r="I298" s="59"/>
      <c r="J298" s="59"/>
      <c r="K298" s="59"/>
      <c r="L298" s="59"/>
      <c r="M298" s="59"/>
      <c r="N298" s="59"/>
      <c r="O298" s="59"/>
    </row>
    <row r="299" spans="4:15">
      <c r="D299" s="59"/>
      <c r="E299" s="59"/>
      <c r="F299" s="59"/>
      <c r="G299" s="59"/>
      <c r="H299" s="59"/>
      <c r="I299" s="59"/>
      <c r="J299" s="59"/>
      <c r="K299" s="59"/>
      <c r="L299" s="59"/>
      <c r="M299" s="59"/>
      <c r="N299" s="59"/>
      <c r="O299" s="59"/>
    </row>
    <row r="300" spans="4:15">
      <c r="D300" s="59"/>
      <c r="E300" s="59"/>
      <c r="F300" s="59"/>
      <c r="G300" s="59"/>
      <c r="H300" s="59"/>
      <c r="I300" s="59"/>
      <c r="J300" s="59"/>
      <c r="K300" s="59"/>
      <c r="L300" s="59"/>
      <c r="M300" s="59"/>
      <c r="N300" s="59"/>
      <c r="O300" s="59"/>
    </row>
    <row r="301" spans="4:15">
      <c r="D301" s="59"/>
      <c r="E301" s="59"/>
      <c r="F301" s="59"/>
      <c r="G301" s="59"/>
      <c r="H301" s="59"/>
      <c r="I301" s="59"/>
      <c r="J301" s="59"/>
      <c r="K301" s="59"/>
      <c r="L301" s="59"/>
      <c r="M301" s="59"/>
      <c r="N301" s="59"/>
      <c r="O301" s="59"/>
    </row>
    <row r="302" spans="4:15">
      <c r="D302" s="59"/>
      <c r="E302" s="59"/>
      <c r="F302" s="59"/>
      <c r="G302" s="59"/>
      <c r="H302" s="59"/>
      <c r="I302" s="59"/>
      <c r="J302" s="59"/>
      <c r="K302" s="59"/>
      <c r="L302" s="59"/>
      <c r="M302" s="59"/>
      <c r="N302" s="59"/>
      <c r="O302" s="59"/>
    </row>
    <row r="303" spans="4:15">
      <c r="D303" s="59"/>
      <c r="E303" s="59"/>
      <c r="F303" s="59"/>
      <c r="G303" s="59"/>
      <c r="H303" s="59"/>
      <c r="I303" s="59"/>
      <c r="J303" s="59"/>
      <c r="K303" s="59"/>
      <c r="L303" s="59"/>
      <c r="M303" s="59"/>
      <c r="N303" s="59"/>
      <c r="O303" s="59"/>
    </row>
    <row r="304" spans="4:15">
      <c r="D304" s="59"/>
      <c r="E304" s="59"/>
      <c r="F304" s="59"/>
      <c r="G304" s="59"/>
      <c r="H304" s="59"/>
      <c r="I304" s="59"/>
      <c r="J304" s="59"/>
      <c r="K304" s="59"/>
      <c r="L304" s="59"/>
      <c r="M304" s="59"/>
      <c r="N304" s="59"/>
      <c r="O304" s="59"/>
    </row>
    <row r="305" spans="4:15">
      <c r="D305" s="59"/>
      <c r="E305" s="59"/>
      <c r="F305" s="59"/>
      <c r="G305" s="59"/>
      <c r="H305" s="59"/>
      <c r="I305" s="59"/>
      <c r="J305" s="59"/>
      <c r="K305" s="59"/>
      <c r="L305" s="59"/>
      <c r="M305" s="59"/>
      <c r="N305" s="59"/>
      <c r="O305" s="59"/>
    </row>
    <row r="306" spans="4:15">
      <c r="D306" s="59"/>
      <c r="E306" s="59"/>
      <c r="F306" s="59"/>
      <c r="G306" s="59"/>
      <c r="H306" s="59"/>
      <c r="I306" s="59"/>
      <c r="J306" s="59"/>
      <c r="K306" s="59"/>
      <c r="L306" s="59"/>
      <c r="M306" s="59"/>
      <c r="N306" s="59"/>
      <c r="O306" s="59"/>
    </row>
    <row r="307" spans="4:15">
      <c r="D307" s="59"/>
      <c r="E307" s="59"/>
      <c r="F307" s="59"/>
      <c r="G307" s="59"/>
      <c r="H307" s="59"/>
      <c r="I307" s="59"/>
      <c r="J307" s="59"/>
      <c r="K307" s="59"/>
      <c r="L307" s="59"/>
      <c r="M307" s="59"/>
      <c r="N307" s="59"/>
      <c r="O307" s="59"/>
    </row>
    <row r="308" spans="4:15">
      <c r="D308" s="59"/>
      <c r="E308" s="59"/>
      <c r="F308" s="59"/>
      <c r="G308" s="59"/>
      <c r="H308" s="59"/>
      <c r="I308" s="59"/>
      <c r="J308" s="59"/>
      <c r="K308" s="59"/>
      <c r="L308" s="59"/>
      <c r="M308" s="59"/>
      <c r="N308" s="59"/>
      <c r="O308" s="59"/>
    </row>
    <row r="309" spans="4:15">
      <c r="D309" s="59"/>
      <c r="E309" s="59"/>
      <c r="F309" s="59"/>
      <c r="G309" s="59"/>
      <c r="H309" s="59"/>
      <c r="I309" s="59"/>
      <c r="J309" s="59"/>
      <c r="K309" s="59"/>
      <c r="L309" s="59"/>
      <c r="M309" s="59"/>
      <c r="N309" s="59"/>
      <c r="O309" s="59"/>
    </row>
    <row r="310" spans="4:15">
      <c r="D310" s="59"/>
      <c r="E310" s="59"/>
      <c r="F310" s="59"/>
      <c r="G310" s="59"/>
      <c r="H310" s="59"/>
      <c r="I310" s="59"/>
      <c r="J310" s="59"/>
      <c r="K310" s="59"/>
      <c r="L310" s="59"/>
      <c r="M310" s="59"/>
      <c r="N310" s="59"/>
      <c r="O310" s="59"/>
    </row>
    <row r="311" spans="4:15">
      <c r="D311" s="59"/>
      <c r="E311" s="59"/>
      <c r="F311" s="59"/>
      <c r="G311" s="59"/>
      <c r="H311" s="59"/>
      <c r="I311" s="59"/>
      <c r="J311" s="59"/>
      <c r="K311" s="59"/>
      <c r="L311" s="59"/>
      <c r="M311" s="59"/>
      <c r="N311" s="59"/>
      <c r="O311" s="59"/>
    </row>
    <row r="312" spans="4:15">
      <c r="D312" s="59"/>
      <c r="E312" s="59"/>
      <c r="F312" s="59"/>
      <c r="G312" s="59"/>
      <c r="H312" s="59"/>
      <c r="I312" s="59"/>
      <c r="J312" s="59"/>
      <c r="K312" s="59"/>
      <c r="L312" s="59"/>
      <c r="M312" s="59"/>
      <c r="N312" s="59"/>
      <c r="O312" s="59"/>
    </row>
    <row r="313" spans="4:15">
      <c r="D313" s="59"/>
      <c r="E313" s="59"/>
      <c r="F313" s="59"/>
      <c r="G313" s="59"/>
      <c r="H313" s="59"/>
      <c r="I313" s="59"/>
      <c r="J313" s="59"/>
      <c r="K313" s="59"/>
      <c r="L313" s="59"/>
      <c r="M313" s="59"/>
      <c r="N313" s="59"/>
      <c r="O313" s="59"/>
    </row>
    <row r="314" spans="4:15">
      <c r="D314" s="59"/>
      <c r="E314" s="59"/>
      <c r="F314" s="59"/>
      <c r="G314" s="59"/>
      <c r="H314" s="59"/>
      <c r="I314" s="59"/>
      <c r="J314" s="59"/>
      <c r="K314" s="59"/>
      <c r="L314" s="59"/>
      <c r="M314" s="59"/>
      <c r="N314" s="59"/>
      <c r="O314" s="59"/>
    </row>
    <row r="315" spans="4:15">
      <c r="D315" s="59"/>
      <c r="E315" s="59"/>
      <c r="F315" s="59"/>
      <c r="G315" s="59"/>
      <c r="H315" s="59"/>
      <c r="I315" s="59"/>
      <c r="J315" s="59"/>
      <c r="K315" s="59"/>
      <c r="L315" s="59"/>
      <c r="M315" s="59"/>
      <c r="N315" s="59"/>
      <c r="O315" s="59"/>
    </row>
    <row r="316" spans="4:15">
      <c r="D316" s="59"/>
      <c r="E316" s="59"/>
      <c r="F316" s="59"/>
      <c r="G316" s="59"/>
      <c r="H316" s="59"/>
      <c r="I316" s="59"/>
      <c r="J316" s="59"/>
      <c r="K316" s="59"/>
      <c r="L316" s="59"/>
      <c r="M316" s="59"/>
      <c r="N316" s="59"/>
      <c r="O316" s="59"/>
    </row>
    <row r="317" spans="4:15">
      <c r="D317" s="59"/>
      <c r="E317" s="59"/>
      <c r="F317" s="59"/>
      <c r="G317" s="59"/>
      <c r="H317" s="59"/>
      <c r="I317" s="59"/>
      <c r="J317" s="59"/>
      <c r="K317" s="59"/>
      <c r="L317" s="59"/>
      <c r="M317" s="59"/>
      <c r="N317" s="59"/>
      <c r="O317" s="59"/>
    </row>
    <row r="318" spans="4:15">
      <c r="D318" s="59"/>
      <c r="E318" s="59"/>
      <c r="F318" s="59"/>
      <c r="G318" s="59"/>
      <c r="H318" s="59"/>
      <c r="I318" s="59"/>
      <c r="J318" s="59"/>
      <c r="K318" s="59"/>
      <c r="L318" s="59"/>
      <c r="M318" s="59"/>
      <c r="N318" s="59"/>
      <c r="O318" s="59"/>
    </row>
    <row r="319" spans="4:15">
      <c r="D319" s="59"/>
      <c r="E319" s="59"/>
      <c r="F319" s="59"/>
      <c r="G319" s="59"/>
      <c r="H319" s="59"/>
      <c r="I319" s="59"/>
      <c r="J319" s="59"/>
      <c r="K319" s="59"/>
      <c r="L319" s="59"/>
      <c r="M319" s="59"/>
      <c r="N319" s="59"/>
      <c r="O319" s="59"/>
    </row>
    <row r="320" spans="4:15">
      <c r="D320" s="59"/>
      <c r="E320" s="59"/>
      <c r="F320" s="59"/>
      <c r="G320" s="59"/>
      <c r="H320" s="59"/>
      <c r="I320" s="59"/>
      <c r="J320" s="59"/>
      <c r="K320" s="59"/>
      <c r="L320" s="59"/>
      <c r="M320" s="59"/>
      <c r="N320" s="59"/>
      <c r="O320" s="59"/>
    </row>
    <row r="321" spans="4:15">
      <c r="D321" s="59"/>
      <c r="E321" s="59"/>
      <c r="F321" s="59"/>
      <c r="G321" s="59"/>
      <c r="H321" s="59"/>
      <c r="I321" s="59"/>
      <c r="J321" s="59"/>
      <c r="K321" s="59"/>
      <c r="L321" s="59"/>
      <c r="M321" s="59"/>
      <c r="N321" s="59"/>
      <c r="O321" s="59"/>
    </row>
    <row r="322" spans="4:15">
      <c r="D322" s="59"/>
      <c r="E322" s="59"/>
      <c r="F322" s="59"/>
      <c r="G322" s="59"/>
      <c r="H322" s="59"/>
      <c r="I322" s="59"/>
      <c r="J322" s="59"/>
      <c r="K322" s="59"/>
      <c r="L322" s="59"/>
      <c r="M322" s="59"/>
      <c r="N322" s="59"/>
      <c r="O322" s="59"/>
    </row>
    <row r="323" spans="4:15">
      <c r="D323" s="59"/>
      <c r="E323" s="59"/>
      <c r="F323" s="59"/>
      <c r="G323" s="59"/>
      <c r="H323" s="59"/>
      <c r="I323" s="59"/>
      <c r="J323" s="59"/>
      <c r="K323" s="59"/>
      <c r="L323" s="59"/>
      <c r="M323" s="59"/>
      <c r="N323" s="59"/>
      <c r="O323" s="59"/>
    </row>
    <row r="324" spans="4:15">
      <c r="D324" s="59"/>
      <c r="E324" s="59"/>
      <c r="F324" s="59"/>
      <c r="G324" s="59"/>
      <c r="H324" s="59"/>
      <c r="I324" s="59"/>
      <c r="J324" s="59"/>
      <c r="K324" s="59"/>
      <c r="L324" s="59"/>
      <c r="M324" s="59"/>
      <c r="N324" s="59"/>
      <c r="O324" s="59"/>
    </row>
    <row r="325" spans="4:15">
      <c r="D325" s="59"/>
      <c r="E325" s="59"/>
      <c r="F325" s="59"/>
      <c r="G325" s="59"/>
      <c r="H325" s="59"/>
      <c r="I325" s="59"/>
      <c r="J325" s="59"/>
      <c r="K325" s="59"/>
      <c r="L325" s="59"/>
      <c r="M325" s="59"/>
      <c r="N325" s="59"/>
      <c r="O325" s="59"/>
    </row>
    <row r="326" spans="4:15">
      <c r="D326" s="59"/>
      <c r="E326" s="59"/>
      <c r="F326" s="59"/>
      <c r="G326" s="59"/>
      <c r="H326" s="59"/>
      <c r="I326" s="59"/>
      <c r="J326" s="59"/>
      <c r="K326" s="59"/>
      <c r="L326" s="59"/>
      <c r="M326" s="59"/>
      <c r="N326" s="59"/>
      <c r="O326" s="59"/>
    </row>
    <row r="327" spans="4:15">
      <c r="D327" s="59"/>
      <c r="E327" s="59"/>
      <c r="F327" s="59"/>
      <c r="G327" s="59"/>
      <c r="H327" s="59"/>
      <c r="I327" s="59"/>
      <c r="J327" s="59"/>
      <c r="K327" s="59"/>
      <c r="L327" s="59"/>
      <c r="M327" s="59"/>
      <c r="N327" s="59"/>
      <c r="O327" s="59"/>
    </row>
    <row r="328" spans="4:15">
      <c r="D328" s="59"/>
      <c r="E328" s="59"/>
      <c r="F328" s="59"/>
      <c r="G328" s="59"/>
      <c r="H328" s="59"/>
      <c r="I328" s="59"/>
      <c r="J328" s="59"/>
      <c r="K328" s="59"/>
      <c r="L328" s="59"/>
      <c r="M328" s="59"/>
      <c r="N328" s="59"/>
      <c r="O328" s="59"/>
    </row>
    <row r="329" spans="4:15">
      <c r="D329" s="59"/>
      <c r="E329" s="59"/>
      <c r="F329" s="59"/>
      <c r="G329" s="59"/>
      <c r="H329" s="59"/>
      <c r="I329" s="59"/>
      <c r="J329" s="59"/>
      <c r="K329" s="59"/>
      <c r="L329" s="59"/>
      <c r="M329" s="59"/>
      <c r="N329" s="59"/>
      <c r="O329" s="59"/>
    </row>
    <row r="330" spans="4:15">
      <c r="D330" s="59"/>
      <c r="E330" s="59"/>
      <c r="F330" s="59"/>
      <c r="G330" s="59"/>
      <c r="H330" s="59"/>
      <c r="I330" s="59"/>
      <c r="J330" s="59"/>
      <c r="K330" s="59"/>
      <c r="L330" s="59"/>
      <c r="M330" s="59"/>
      <c r="N330" s="59"/>
      <c r="O330" s="59"/>
    </row>
    <row r="331" spans="4:15">
      <c r="D331" s="59"/>
      <c r="E331" s="59"/>
      <c r="F331" s="59"/>
      <c r="G331" s="59"/>
      <c r="H331" s="59"/>
      <c r="I331" s="59"/>
      <c r="J331" s="59"/>
      <c r="K331" s="59"/>
      <c r="L331" s="59"/>
      <c r="M331" s="59"/>
      <c r="N331" s="59"/>
      <c r="O331" s="59"/>
    </row>
    <row r="332" spans="4:15">
      <c r="D332" s="59"/>
      <c r="E332" s="59"/>
      <c r="F332" s="59"/>
      <c r="G332" s="59"/>
      <c r="H332" s="59"/>
      <c r="I332" s="59"/>
      <c r="J332" s="59"/>
      <c r="K332" s="59"/>
      <c r="L332" s="59"/>
      <c r="M332" s="59"/>
      <c r="N332" s="59"/>
      <c r="O332" s="59"/>
    </row>
    <row r="333" spans="4:15">
      <c r="D333" s="59"/>
      <c r="E333" s="59"/>
      <c r="F333" s="59"/>
      <c r="G333" s="59"/>
      <c r="H333" s="59"/>
      <c r="I333" s="59"/>
      <c r="J333" s="59"/>
      <c r="K333" s="59"/>
      <c r="L333" s="59"/>
      <c r="M333" s="59"/>
      <c r="N333" s="59"/>
      <c r="O333" s="59"/>
    </row>
    <row r="334" spans="4:15">
      <c r="D334" s="59"/>
      <c r="E334" s="59"/>
      <c r="F334" s="59"/>
      <c r="G334" s="59"/>
      <c r="H334" s="59"/>
      <c r="I334" s="59"/>
      <c r="J334" s="59"/>
      <c r="K334" s="59"/>
      <c r="L334" s="59"/>
      <c r="M334" s="59"/>
      <c r="N334" s="59"/>
      <c r="O334" s="59"/>
    </row>
    <row r="335" spans="4:15">
      <c r="D335" s="59"/>
      <c r="E335" s="59"/>
      <c r="F335" s="59"/>
      <c r="G335" s="59"/>
      <c r="H335" s="59"/>
      <c r="I335" s="59"/>
      <c r="J335" s="59"/>
      <c r="K335" s="59"/>
      <c r="L335" s="59"/>
      <c r="M335" s="59"/>
      <c r="N335" s="59"/>
      <c r="O335" s="59"/>
    </row>
    <row r="336" spans="4:15">
      <c r="D336" s="59"/>
      <c r="E336" s="59"/>
      <c r="F336" s="59"/>
      <c r="G336" s="59"/>
      <c r="H336" s="59"/>
      <c r="I336" s="59"/>
      <c r="J336" s="59"/>
      <c r="K336" s="59"/>
      <c r="L336" s="59"/>
      <c r="M336" s="59"/>
      <c r="N336" s="59"/>
      <c r="O336" s="59"/>
    </row>
    <row r="337" spans="4:15">
      <c r="D337" s="59"/>
      <c r="E337" s="59"/>
      <c r="F337" s="59"/>
      <c r="G337" s="59"/>
      <c r="H337" s="59"/>
      <c r="I337" s="59"/>
      <c r="J337" s="59"/>
      <c r="K337" s="59"/>
      <c r="L337" s="59"/>
      <c r="M337" s="59"/>
      <c r="N337" s="59"/>
      <c r="O337" s="59"/>
    </row>
    <row r="338" spans="4:15">
      <c r="D338" s="59"/>
      <c r="E338" s="59"/>
      <c r="F338" s="59"/>
      <c r="G338" s="59"/>
      <c r="H338" s="59"/>
      <c r="I338" s="59"/>
      <c r="J338" s="59"/>
      <c r="K338" s="59"/>
      <c r="L338" s="59"/>
      <c r="M338" s="59"/>
      <c r="N338" s="59"/>
      <c r="O338" s="59"/>
    </row>
    <row r="339" spans="4:15">
      <c r="D339" s="59"/>
      <c r="E339" s="59"/>
      <c r="F339" s="59"/>
      <c r="G339" s="59"/>
      <c r="H339" s="59"/>
      <c r="I339" s="59"/>
      <c r="J339" s="59"/>
      <c r="K339" s="59"/>
      <c r="L339" s="59"/>
      <c r="M339" s="59"/>
      <c r="N339" s="59"/>
      <c r="O339" s="59"/>
    </row>
    <row r="340" spans="4:15">
      <c r="D340" s="59"/>
      <c r="E340" s="59"/>
      <c r="F340" s="59"/>
      <c r="G340" s="59"/>
      <c r="H340" s="59"/>
      <c r="I340" s="59"/>
      <c r="J340" s="59"/>
      <c r="K340" s="59"/>
      <c r="L340" s="59"/>
      <c r="M340" s="59"/>
      <c r="N340" s="59"/>
      <c r="O340" s="59"/>
    </row>
    <row r="341" spans="4:15">
      <c r="D341" s="59"/>
      <c r="E341" s="59"/>
      <c r="F341" s="59"/>
      <c r="G341" s="59"/>
      <c r="H341" s="59"/>
      <c r="I341" s="59"/>
      <c r="J341" s="59"/>
      <c r="K341" s="59"/>
      <c r="L341" s="59"/>
      <c r="M341" s="59"/>
      <c r="N341" s="59"/>
      <c r="O341" s="59"/>
    </row>
    <row r="342" spans="4:15">
      <c r="D342" s="59"/>
      <c r="E342" s="59"/>
      <c r="F342" s="59"/>
      <c r="G342" s="59"/>
      <c r="H342" s="59"/>
      <c r="I342" s="59"/>
      <c r="J342" s="59"/>
      <c r="K342" s="59"/>
      <c r="L342" s="59"/>
      <c r="M342" s="59"/>
      <c r="N342" s="59"/>
      <c r="O342" s="59"/>
    </row>
    <row r="343" spans="4:15">
      <c r="D343" s="59"/>
      <c r="E343" s="59"/>
      <c r="F343" s="59"/>
      <c r="G343" s="59"/>
      <c r="H343" s="59"/>
      <c r="I343" s="59"/>
      <c r="J343" s="59"/>
      <c r="K343" s="59"/>
      <c r="L343" s="59"/>
      <c r="M343" s="59"/>
      <c r="N343" s="59"/>
      <c r="O343" s="59"/>
    </row>
    <row r="344" spans="4:15">
      <c r="D344" s="59"/>
      <c r="E344" s="59"/>
      <c r="F344" s="59"/>
      <c r="G344" s="59"/>
      <c r="H344" s="59"/>
      <c r="I344" s="59"/>
      <c r="J344" s="59"/>
      <c r="K344" s="59"/>
      <c r="L344" s="59"/>
      <c r="M344" s="59"/>
      <c r="N344" s="59"/>
      <c r="O344" s="59"/>
    </row>
    <row r="345" spans="4:15">
      <c r="D345" s="59"/>
      <c r="E345" s="59"/>
      <c r="F345" s="59"/>
      <c r="G345" s="59"/>
      <c r="H345" s="59"/>
      <c r="I345" s="59"/>
      <c r="J345" s="59"/>
      <c r="K345" s="59"/>
      <c r="L345" s="59"/>
      <c r="M345" s="59"/>
      <c r="N345" s="59"/>
      <c r="O345" s="59"/>
    </row>
    <row r="346" spans="4:15">
      <c r="D346" s="59"/>
      <c r="E346" s="59"/>
      <c r="F346" s="59"/>
      <c r="G346" s="59"/>
      <c r="H346" s="59"/>
      <c r="I346" s="59"/>
      <c r="J346" s="59"/>
      <c r="K346" s="59"/>
      <c r="L346" s="59"/>
      <c r="M346" s="59"/>
      <c r="N346" s="59"/>
      <c r="O346" s="59"/>
    </row>
    <row r="347" spans="4:15">
      <c r="D347" s="59"/>
      <c r="E347" s="59"/>
      <c r="F347" s="59"/>
      <c r="G347" s="59"/>
      <c r="H347" s="59"/>
      <c r="I347" s="59"/>
      <c r="J347" s="59"/>
      <c r="K347" s="59"/>
      <c r="L347" s="59"/>
      <c r="M347" s="59"/>
      <c r="N347" s="59"/>
      <c r="O347" s="59"/>
    </row>
    <row r="348" spans="4:15">
      <c r="D348" s="59"/>
      <c r="E348" s="59"/>
      <c r="F348" s="59"/>
      <c r="G348" s="59"/>
      <c r="H348" s="59"/>
      <c r="I348" s="59"/>
      <c r="J348" s="59"/>
      <c r="K348" s="59"/>
      <c r="L348" s="59"/>
      <c r="M348" s="59"/>
      <c r="N348" s="59"/>
      <c r="O348" s="59"/>
    </row>
    <row r="349" spans="4:15">
      <c r="D349" s="59"/>
      <c r="E349" s="59"/>
      <c r="F349" s="59"/>
      <c r="G349" s="59"/>
      <c r="H349" s="59"/>
      <c r="I349" s="59"/>
      <c r="J349" s="59"/>
      <c r="K349" s="59"/>
      <c r="L349" s="59"/>
      <c r="M349" s="59"/>
      <c r="N349" s="59"/>
      <c r="O349" s="59"/>
    </row>
    <row r="350" spans="4:15">
      <c r="D350" s="59"/>
      <c r="E350" s="59"/>
      <c r="F350" s="59"/>
      <c r="G350" s="59"/>
      <c r="H350" s="59"/>
      <c r="I350" s="59"/>
      <c r="J350" s="59"/>
      <c r="K350" s="59"/>
      <c r="L350" s="59"/>
      <c r="M350" s="59"/>
      <c r="N350" s="59"/>
      <c r="O350" s="59"/>
    </row>
    <row r="351" spans="4:15">
      <c r="D351" s="59"/>
      <c r="E351" s="59"/>
      <c r="F351" s="59"/>
      <c r="G351" s="59"/>
      <c r="H351" s="59"/>
      <c r="I351" s="59"/>
      <c r="J351" s="59"/>
      <c r="K351" s="59"/>
      <c r="L351" s="59"/>
      <c r="M351" s="59"/>
      <c r="N351" s="59"/>
      <c r="O351" s="59"/>
    </row>
    <row r="352" spans="4:15">
      <c r="D352" s="59"/>
      <c r="E352" s="59"/>
      <c r="F352" s="59"/>
      <c r="G352" s="59"/>
      <c r="H352" s="59"/>
      <c r="I352" s="59"/>
      <c r="J352" s="59"/>
      <c r="K352" s="59"/>
      <c r="L352" s="59"/>
      <c r="M352" s="59"/>
      <c r="N352" s="59"/>
      <c r="O352" s="59"/>
    </row>
    <row r="353" spans="4:15">
      <c r="D353" s="59"/>
      <c r="E353" s="59"/>
      <c r="F353" s="59"/>
      <c r="G353" s="59"/>
      <c r="H353" s="59"/>
      <c r="I353" s="59"/>
      <c r="J353" s="59"/>
      <c r="K353" s="59"/>
      <c r="L353" s="59"/>
      <c r="M353" s="59"/>
      <c r="N353" s="59"/>
      <c r="O353" s="59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3DC58D-50B2-4323-918E-F9C6C6958048}">
  <dimension ref="A1:P353"/>
  <sheetViews>
    <sheetView zoomScale="85" zoomScaleNormal="85" workbookViewId="0">
      <selection activeCell="C3" sqref="C3:C97"/>
    </sheetView>
  </sheetViews>
  <sheetFormatPr defaultRowHeight="16"/>
  <cols>
    <col min="1" max="1" width="7.6328125" style="43" customWidth="1"/>
    <col min="2" max="2" width="9.36328125" style="43" customWidth="1"/>
    <col min="3" max="3" width="15.1796875" style="43" customWidth="1"/>
    <col min="4" max="15" width="8.7265625" style="43"/>
    <col min="16" max="16" width="9.1796875" style="59" bestFit="1" customWidth="1"/>
    <col min="17" max="16384" width="8.7265625" style="43"/>
  </cols>
  <sheetData>
    <row r="1" spans="1:16">
      <c r="A1" s="42" t="s">
        <v>301</v>
      </c>
    </row>
    <row r="2" spans="1:16" ht="24.5" customHeight="1">
      <c r="A2" s="55" t="s">
        <v>45</v>
      </c>
      <c r="B2" s="60" t="s">
        <v>5</v>
      </c>
      <c r="C2" s="55" t="s">
        <v>46</v>
      </c>
      <c r="D2" s="61" t="s">
        <v>42</v>
      </c>
      <c r="E2" s="62" t="s">
        <v>43</v>
      </c>
      <c r="F2" s="62" t="s">
        <v>47</v>
      </c>
      <c r="G2" s="62" t="s">
        <v>48</v>
      </c>
      <c r="H2" s="62" t="s">
        <v>144</v>
      </c>
      <c r="I2" s="62" t="s">
        <v>145</v>
      </c>
      <c r="J2" s="62" t="s">
        <v>146</v>
      </c>
      <c r="K2" s="62" t="s">
        <v>147</v>
      </c>
      <c r="L2" s="62" t="s">
        <v>148</v>
      </c>
      <c r="M2" s="62" t="s">
        <v>149</v>
      </c>
      <c r="N2" s="62" t="s">
        <v>150</v>
      </c>
      <c r="O2" s="62" t="s">
        <v>151</v>
      </c>
      <c r="P2" s="63" t="s">
        <v>0</v>
      </c>
    </row>
    <row r="3" spans="1:16" ht="19" customHeight="1">
      <c r="A3" s="3">
        <v>1</v>
      </c>
      <c r="B3" s="3" t="s">
        <v>2</v>
      </c>
      <c r="C3" s="74" t="s">
        <v>49</v>
      </c>
      <c r="D3" s="64">
        <v>512</v>
      </c>
      <c r="E3" s="64">
        <v>586</v>
      </c>
      <c r="F3" s="64">
        <v>611</v>
      </c>
      <c r="G3" s="64">
        <v>716</v>
      </c>
      <c r="H3" s="65"/>
      <c r="I3" s="65"/>
      <c r="J3" s="65"/>
      <c r="K3" s="65"/>
      <c r="L3" s="65"/>
      <c r="M3" s="65"/>
      <c r="N3" s="65"/>
      <c r="O3" s="65"/>
      <c r="P3" s="66">
        <f>SUM(D3:O3)</f>
        <v>2425</v>
      </c>
    </row>
    <row r="4" spans="1:16">
      <c r="A4" s="3">
        <v>2</v>
      </c>
      <c r="B4" s="3" t="s">
        <v>2</v>
      </c>
      <c r="C4" s="74" t="s">
        <v>50</v>
      </c>
      <c r="D4" s="64">
        <v>557</v>
      </c>
      <c r="E4" s="64">
        <v>529</v>
      </c>
      <c r="F4" s="64">
        <v>562</v>
      </c>
      <c r="G4" s="64">
        <v>690</v>
      </c>
      <c r="H4" s="65"/>
      <c r="I4" s="65"/>
      <c r="J4" s="65"/>
      <c r="K4" s="65"/>
      <c r="L4" s="65"/>
      <c r="M4" s="65"/>
      <c r="N4" s="65"/>
      <c r="O4" s="65"/>
      <c r="P4" s="66">
        <f t="shared" ref="P4:P67" si="0">SUM(D4:O4)</f>
        <v>2338</v>
      </c>
    </row>
    <row r="5" spans="1:16">
      <c r="A5" s="3">
        <v>3</v>
      </c>
      <c r="B5" s="3" t="s">
        <v>2</v>
      </c>
      <c r="C5" s="74" t="s">
        <v>51</v>
      </c>
      <c r="D5" s="64">
        <v>183</v>
      </c>
      <c r="E5" s="64">
        <v>163</v>
      </c>
      <c r="F5" s="64">
        <v>223</v>
      </c>
      <c r="G5" s="64">
        <v>185</v>
      </c>
      <c r="H5" s="65"/>
      <c r="I5" s="65"/>
      <c r="J5" s="65"/>
      <c r="K5" s="65"/>
      <c r="L5" s="65"/>
      <c r="M5" s="65"/>
      <c r="N5" s="65"/>
      <c r="O5" s="65"/>
      <c r="P5" s="66">
        <f t="shared" si="0"/>
        <v>754</v>
      </c>
    </row>
    <row r="6" spans="1:16">
      <c r="A6" s="3">
        <v>4</v>
      </c>
      <c r="B6" s="3" t="s">
        <v>2</v>
      </c>
      <c r="C6" s="74" t="s">
        <v>52</v>
      </c>
      <c r="D6" s="64">
        <v>155</v>
      </c>
      <c r="E6" s="64">
        <v>144</v>
      </c>
      <c r="F6" s="64">
        <v>161</v>
      </c>
      <c r="G6" s="64">
        <v>174</v>
      </c>
      <c r="H6" s="65"/>
      <c r="I6" s="65"/>
      <c r="J6" s="65"/>
      <c r="K6" s="65"/>
      <c r="L6" s="65"/>
      <c r="M6" s="65"/>
      <c r="N6" s="65"/>
      <c r="O6" s="65"/>
      <c r="P6" s="66">
        <f t="shared" si="0"/>
        <v>634</v>
      </c>
    </row>
    <row r="7" spans="1:16">
      <c r="A7" s="3">
        <v>5</v>
      </c>
      <c r="B7" s="3" t="s">
        <v>2</v>
      </c>
      <c r="C7" s="74" t="s">
        <v>53</v>
      </c>
      <c r="D7" s="64">
        <v>148</v>
      </c>
      <c r="E7" s="64">
        <v>138</v>
      </c>
      <c r="F7" s="64">
        <v>171</v>
      </c>
      <c r="G7" s="64">
        <v>156</v>
      </c>
      <c r="H7" s="65"/>
      <c r="I7" s="65"/>
      <c r="J7" s="65"/>
      <c r="K7" s="65"/>
      <c r="L7" s="65"/>
      <c r="M7" s="65"/>
      <c r="N7" s="65"/>
      <c r="O7" s="65"/>
      <c r="P7" s="66">
        <f t="shared" si="0"/>
        <v>613</v>
      </c>
    </row>
    <row r="8" spans="1:16">
      <c r="A8" s="3">
        <v>6</v>
      </c>
      <c r="B8" s="3" t="s">
        <v>2</v>
      </c>
      <c r="C8" s="74" t="s">
        <v>54</v>
      </c>
      <c r="D8" s="64">
        <v>94</v>
      </c>
      <c r="E8" s="64">
        <v>92</v>
      </c>
      <c r="F8" s="64">
        <v>98</v>
      </c>
      <c r="G8" s="64">
        <v>129</v>
      </c>
      <c r="H8" s="65"/>
      <c r="I8" s="65"/>
      <c r="J8" s="65"/>
      <c r="K8" s="65"/>
      <c r="L8" s="65"/>
      <c r="M8" s="65"/>
      <c r="N8" s="65"/>
      <c r="O8" s="65"/>
      <c r="P8" s="66">
        <f t="shared" si="0"/>
        <v>413</v>
      </c>
    </row>
    <row r="9" spans="1:16">
      <c r="A9" s="3">
        <v>7</v>
      </c>
      <c r="B9" s="3" t="s">
        <v>2</v>
      </c>
      <c r="C9" s="74" t="s">
        <v>55</v>
      </c>
      <c r="D9" s="64">
        <v>83</v>
      </c>
      <c r="E9" s="64">
        <v>89</v>
      </c>
      <c r="F9" s="64">
        <v>92</v>
      </c>
      <c r="G9" s="64">
        <v>100</v>
      </c>
      <c r="H9" s="65"/>
      <c r="I9" s="65"/>
      <c r="J9" s="65"/>
      <c r="K9" s="65"/>
      <c r="L9" s="65"/>
      <c r="M9" s="65"/>
      <c r="N9" s="65"/>
      <c r="O9" s="65"/>
      <c r="P9" s="66">
        <f t="shared" si="0"/>
        <v>364</v>
      </c>
    </row>
    <row r="10" spans="1:16">
      <c r="A10" s="3">
        <v>8</v>
      </c>
      <c r="B10" s="3" t="s">
        <v>2</v>
      </c>
      <c r="C10" s="74" t="s">
        <v>56</v>
      </c>
      <c r="D10" s="64">
        <v>87</v>
      </c>
      <c r="E10" s="64">
        <v>85</v>
      </c>
      <c r="F10" s="64">
        <v>85</v>
      </c>
      <c r="G10" s="64">
        <v>84</v>
      </c>
      <c r="H10" s="65"/>
      <c r="I10" s="65"/>
      <c r="J10" s="65"/>
      <c r="K10" s="65"/>
      <c r="L10" s="65"/>
      <c r="M10" s="65"/>
      <c r="N10" s="65"/>
      <c r="O10" s="65"/>
      <c r="P10" s="66">
        <f t="shared" si="0"/>
        <v>341</v>
      </c>
    </row>
    <row r="11" spans="1:16">
      <c r="A11" s="3">
        <v>9</v>
      </c>
      <c r="B11" s="3" t="s">
        <v>2</v>
      </c>
      <c r="C11" s="74" t="s">
        <v>57</v>
      </c>
      <c r="D11" s="64">
        <v>56</v>
      </c>
      <c r="E11" s="64">
        <v>70</v>
      </c>
      <c r="F11" s="64">
        <v>68</v>
      </c>
      <c r="G11" s="64">
        <v>94</v>
      </c>
      <c r="H11" s="65"/>
      <c r="I11" s="65"/>
      <c r="J11" s="65"/>
      <c r="K11" s="65"/>
      <c r="L11" s="65"/>
      <c r="M11" s="65"/>
      <c r="N11" s="65"/>
      <c r="O11" s="65"/>
      <c r="P11" s="66">
        <f t="shared" si="0"/>
        <v>288</v>
      </c>
    </row>
    <row r="12" spans="1:16">
      <c r="A12" s="3">
        <v>10</v>
      </c>
      <c r="B12" s="3" t="s">
        <v>2</v>
      </c>
      <c r="C12" s="74" t="s">
        <v>58</v>
      </c>
      <c r="D12" s="64">
        <v>60</v>
      </c>
      <c r="E12" s="64">
        <v>36</v>
      </c>
      <c r="F12" s="64">
        <v>53</v>
      </c>
      <c r="G12" s="64">
        <v>48</v>
      </c>
      <c r="H12" s="65"/>
      <c r="I12" s="65"/>
      <c r="J12" s="65"/>
      <c r="K12" s="65"/>
      <c r="L12" s="65"/>
      <c r="M12" s="65"/>
      <c r="N12" s="65"/>
      <c r="O12" s="65"/>
      <c r="P12" s="66">
        <f t="shared" si="0"/>
        <v>197</v>
      </c>
    </row>
    <row r="13" spans="1:16">
      <c r="A13" s="3">
        <v>11</v>
      </c>
      <c r="B13" s="3" t="s">
        <v>2</v>
      </c>
      <c r="C13" s="74" t="s">
        <v>59</v>
      </c>
      <c r="D13" s="64">
        <v>60</v>
      </c>
      <c r="E13" s="64">
        <v>36</v>
      </c>
      <c r="F13" s="64">
        <v>54</v>
      </c>
      <c r="G13" s="64">
        <v>32</v>
      </c>
      <c r="H13" s="65"/>
      <c r="I13" s="65"/>
      <c r="J13" s="65"/>
      <c r="K13" s="65"/>
      <c r="L13" s="65"/>
      <c r="M13" s="65"/>
      <c r="N13" s="65"/>
      <c r="O13" s="65"/>
      <c r="P13" s="66">
        <f t="shared" si="0"/>
        <v>182</v>
      </c>
    </row>
    <row r="14" spans="1:16">
      <c r="A14" s="3">
        <v>12</v>
      </c>
      <c r="B14" s="3" t="s">
        <v>2</v>
      </c>
      <c r="C14" s="74" t="s">
        <v>60</v>
      </c>
      <c r="D14" s="64">
        <v>48</v>
      </c>
      <c r="E14" s="64">
        <v>34</v>
      </c>
      <c r="F14" s="64">
        <v>44</v>
      </c>
      <c r="G14" s="64">
        <v>38</v>
      </c>
      <c r="H14" s="65"/>
      <c r="I14" s="65"/>
      <c r="J14" s="65"/>
      <c r="K14" s="65"/>
      <c r="L14" s="65"/>
      <c r="M14" s="65"/>
      <c r="N14" s="65"/>
      <c r="O14" s="65"/>
      <c r="P14" s="66">
        <f t="shared" si="0"/>
        <v>164</v>
      </c>
    </row>
    <row r="15" spans="1:16">
      <c r="A15" s="3">
        <v>13</v>
      </c>
      <c r="B15" s="3" t="s">
        <v>2</v>
      </c>
      <c r="C15" s="74" t="s">
        <v>61</v>
      </c>
      <c r="D15" s="64">
        <v>37</v>
      </c>
      <c r="E15" s="64">
        <v>41</v>
      </c>
      <c r="F15" s="64">
        <v>31</v>
      </c>
      <c r="G15" s="64">
        <v>28</v>
      </c>
      <c r="H15" s="65"/>
      <c r="I15" s="65"/>
      <c r="J15" s="65"/>
      <c r="K15" s="65"/>
      <c r="L15" s="65"/>
      <c r="M15" s="65"/>
      <c r="N15" s="65"/>
      <c r="O15" s="65"/>
      <c r="P15" s="66">
        <f t="shared" si="0"/>
        <v>137</v>
      </c>
    </row>
    <row r="16" spans="1:16">
      <c r="A16" s="3">
        <v>14</v>
      </c>
      <c r="B16" s="3" t="s">
        <v>2</v>
      </c>
      <c r="C16" s="74" t="s">
        <v>62</v>
      </c>
      <c r="D16" s="64">
        <v>31</v>
      </c>
      <c r="E16" s="64">
        <v>36</v>
      </c>
      <c r="F16" s="64">
        <v>26</v>
      </c>
      <c r="G16" s="64">
        <v>30</v>
      </c>
      <c r="H16" s="65"/>
      <c r="I16" s="65"/>
      <c r="J16" s="65"/>
      <c r="K16" s="65"/>
      <c r="L16" s="65"/>
      <c r="M16" s="65"/>
      <c r="N16" s="65"/>
      <c r="O16" s="65"/>
      <c r="P16" s="66">
        <f t="shared" si="0"/>
        <v>123</v>
      </c>
    </row>
    <row r="17" spans="1:16">
      <c r="A17" s="3">
        <v>15</v>
      </c>
      <c r="B17" s="3" t="s">
        <v>2</v>
      </c>
      <c r="C17" s="74" t="s">
        <v>63</v>
      </c>
      <c r="D17" s="64">
        <v>22</v>
      </c>
      <c r="E17" s="64">
        <v>24</v>
      </c>
      <c r="F17" s="64">
        <v>29</v>
      </c>
      <c r="G17" s="64">
        <v>26</v>
      </c>
      <c r="H17" s="65"/>
      <c r="I17" s="65"/>
      <c r="J17" s="65"/>
      <c r="K17" s="65"/>
      <c r="L17" s="65"/>
      <c r="M17" s="65"/>
      <c r="N17" s="65"/>
      <c r="O17" s="65"/>
      <c r="P17" s="66">
        <f t="shared" si="0"/>
        <v>101</v>
      </c>
    </row>
    <row r="18" spans="1:16">
      <c r="A18" s="3">
        <v>16</v>
      </c>
      <c r="B18" s="3" t="s">
        <v>2</v>
      </c>
      <c r="C18" s="74" t="s">
        <v>64</v>
      </c>
      <c r="D18" s="64">
        <v>1</v>
      </c>
      <c r="E18" s="64">
        <v>6</v>
      </c>
      <c r="F18" s="64">
        <v>60</v>
      </c>
      <c r="G18" s="64">
        <v>39</v>
      </c>
      <c r="H18" s="65"/>
      <c r="I18" s="65"/>
      <c r="J18" s="65"/>
      <c r="K18" s="65"/>
      <c r="L18" s="65"/>
      <c r="M18" s="65"/>
      <c r="N18" s="65"/>
      <c r="O18" s="65"/>
      <c r="P18" s="66">
        <f t="shared" si="0"/>
        <v>106</v>
      </c>
    </row>
    <row r="19" spans="1:16">
      <c r="A19" s="3">
        <v>17</v>
      </c>
      <c r="B19" s="3" t="s">
        <v>2</v>
      </c>
      <c r="C19" s="74" t="s">
        <v>65</v>
      </c>
      <c r="D19" s="64">
        <v>22</v>
      </c>
      <c r="E19" s="64">
        <v>29</v>
      </c>
      <c r="F19" s="64">
        <v>27</v>
      </c>
      <c r="G19" s="64">
        <v>28</v>
      </c>
      <c r="H19" s="65"/>
      <c r="I19" s="65"/>
      <c r="J19" s="65"/>
      <c r="K19" s="65"/>
      <c r="L19" s="65"/>
      <c r="M19" s="65"/>
      <c r="N19" s="65"/>
      <c r="O19" s="65"/>
      <c r="P19" s="66">
        <f t="shared" si="0"/>
        <v>106</v>
      </c>
    </row>
    <row r="20" spans="1:16">
      <c r="A20" s="3">
        <v>18</v>
      </c>
      <c r="B20" s="3" t="s">
        <v>2</v>
      </c>
      <c r="C20" s="74" t="s">
        <v>66</v>
      </c>
      <c r="D20" s="64">
        <v>20</v>
      </c>
      <c r="E20" s="64">
        <v>21</v>
      </c>
      <c r="F20" s="64">
        <v>19</v>
      </c>
      <c r="G20" s="64">
        <v>24</v>
      </c>
      <c r="H20" s="65"/>
      <c r="I20" s="65"/>
      <c r="J20" s="65"/>
      <c r="K20" s="65"/>
      <c r="L20" s="65"/>
      <c r="M20" s="65"/>
      <c r="N20" s="65"/>
      <c r="O20" s="65"/>
      <c r="P20" s="66">
        <f t="shared" si="0"/>
        <v>84</v>
      </c>
    </row>
    <row r="21" spans="1:16">
      <c r="A21" s="3">
        <v>19</v>
      </c>
      <c r="B21" s="3" t="s">
        <v>2</v>
      </c>
      <c r="C21" s="74" t="s">
        <v>67</v>
      </c>
      <c r="D21" s="64">
        <v>17</v>
      </c>
      <c r="E21" s="64">
        <v>19</v>
      </c>
      <c r="F21" s="64">
        <v>19</v>
      </c>
      <c r="G21" s="64">
        <v>20</v>
      </c>
      <c r="H21" s="65"/>
      <c r="I21" s="65"/>
      <c r="J21" s="65"/>
      <c r="K21" s="65"/>
      <c r="L21" s="65"/>
      <c r="M21" s="65"/>
      <c r="N21" s="65"/>
      <c r="O21" s="65"/>
      <c r="P21" s="66">
        <f t="shared" si="0"/>
        <v>75</v>
      </c>
    </row>
    <row r="22" spans="1:16">
      <c r="A22" s="3">
        <v>20</v>
      </c>
      <c r="B22" s="3" t="s">
        <v>2</v>
      </c>
      <c r="C22" s="74" t="s">
        <v>68</v>
      </c>
      <c r="D22" s="64">
        <v>13</v>
      </c>
      <c r="E22" s="64">
        <v>28</v>
      </c>
      <c r="F22" s="64">
        <v>23</v>
      </c>
      <c r="G22" s="64">
        <v>16</v>
      </c>
      <c r="H22" s="65"/>
      <c r="I22" s="65"/>
      <c r="J22" s="65"/>
      <c r="K22" s="65"/>
      <c r="L22" s="65"/>
      <c r="M22" s="65"/>
      <c r="N22" s="65"/>
      <c r="O22" s="65"/>
      <c r="P22" s="66">
        <f t="shared" si="0"/>
        <v>80</v>
      </c>
    </row>
    <row r="23" spans="1:16">
      <c r="A23" s="3">
        <v>21</v>
      </c>
      <c r="B23" s="3" t="s">
        <v>2</v>
      </c>
      <c r="C23" s="74" t="s">
        <v>69</v>
      </c>
      <c r="D23" s="64">
        <v>22</v>
      </c>
      <c r="E23" s="64">
        <v>17</v>
      </c>
      <c r="F23" s="64">
        <v>18</v>
      </c>
      <c r="G23" s="64">
        <v>18</v>
      </c>
      <c r="H23" s="65"/>
      <c r="I23" s="65"/>
      <c r="J23" s="65"/>
      <c r="K23" s="65"/>
      <c r="L23" s="65"/>
      <c r="M23" s="65"/>
      <c r="N23" s="65"/>
      <c r="O23" s="65"/>
      <c r="P23" s="66">
        <f t="shared" si="0"/>
        <v>75</v>
      </c>
    </row>
    <row r="24" spans="1:16">
      <c r="A24" s="3">
        <v>22</v>
      </c>
      <c r="B24" s="3" t="s">
        <v>2</v>
      </c>
      <c r="C24" s="74" t="s">
        <v>70</v>
      </c>
      <c r="D24" s="64">
        <v>26</v>
      </c>
      <c r="E24" s="64">
        <v>24</v>
      </c>
      <c r="F24" s="64">
        <v>16</v>
      </c>
      <c r="G24" s="64">
        <v>11</v>
      </c>
      <c r="H24" s="65"/>
      <c r="I24" s="65"/>
      <c r="J24" s="65"/>
      <c r="K24" s="65"/>
      <c r="L24" s="65"/>
      <c r="M24" s="65"/>
      <c r="N24" s="65"/>
      <c r="O24" s="65"/>
      <c r="P24" s="66">
        <f t="shared" si="0"/>
        <v>77</v>
      </c>
    </row>
    <row r="25" spans="1:16">
      <c r="A25" s="3">
        <v>23</v>
      </c>
      <c r="B25" s="3" t="s">
        <v>2</v>
      </c>
      <c r="C25" s="74" t="s">
        <v>71</v>
      </c>
      <c r="D25" s="64">
        <v>18</v>
      </c>
      <c r="E25" s="64">
        <v>12</v>
      </c>
      <c r="F25" s="64">
        <v>12</v>
      </c>
      <c r="G25" s="64">
        <v>27</v>
      </c>
      <c r="H25" s="65"/>
      <c r="I25" s="65"/>
      <c r="J25" s="65"/>
      <c r="K25" s="65"/>
      <c r="L25" s="65"/>
      <c r="M25" s="65"/>
      <c r="N25" s="65"/>
      <c r="O25" s="65"/>
      <c r="P25" s="66">
        <f t="shared" si="0"/>
        <v>69</v>
      </c>
    </row>
    <row r="26" spans="1:16">
      <c r="A26" s="3">
        <v>24</v>
      </c>
      <c r="B26" s="3" t="s">
        <v>2</v>
      </c>
      <c r="C26" s="74" t="s">
        <v>72</v>
      </c>
      <c r="D26" s="64">
        <v>12</v>
      </c>
      <c r="E26" s="64">
        <v>16</v>
      </c>
      <c r="F26" s="64">
        <v>11</v>
      </c>
      <c r="G26" s="64">
        <v>15</v>
      </c>
      <c r="H26" s="65"/>
      <c r="I26" s="65"/>
      <c r="J26" s="65"/>
      <c r="K26" s="65"/>
      <c r="L26" s="65"/>
      <c r="M26" s="65"/>
      <c r="N26" s="65"/>
      <c r="O26" s="65"/>
      <c r="P26" s="66">
        <f t="shared" si="0"/>
        <v>54</v>
      </c>
    </row>
    <row r="27" spans="1:16">
      <c r="A27" s="3">
        <v>25</v>
      </c>
      <c r="B27" s="3" t="s">
        <v>2</v>
      </c>
      <c r="C27" s="74" t="s">
        <v>73</v>
      </c>
      <c r="D27" s="64">
        <v>6</v>
      </c>
      <c r="E27" s="64">
        <v>11</v>
      </c>
      <c r="F27" s="64">
        <v>17</v>
      </c>
      <c r="G27" s="64">
        <v>17</v>
      </c>
      <c r="H27" s="65"/>
      <c r="I27" s="65"/>
      <c r="J27" s="65"/>
      <c r="K27" s="65"/>
      <c r="L27" s="65"/>
      <c r="M27" s="65"/>
      <c r="N27" s="65"/>
      <c r="O27" s="65"/>
      <c r="P27" s="66">
        <f t="shared" si="0"/>
        <v>51</v>
      </c>
    </row>
    <row r="28" spans="1:16">
      <c r="A28" s="3">
        <v>26</v>
      </c>
      <c r="B28" s="3" t="s">
        <v>2</v>
      </c>
      <c r="C28" s="74" t="s">
        <v>74</v>
      </c>
      <c r="D28" s="64">
        <v>16</v>
      </c>
      <c r="E28" s="64">
        <v>17</v>
      </c>
      <c r="F28" s="64">
        <v>12</v>
      </c>
      <c r="G28" s="64">
        <v>5</v>
      </c>
      <c r="H28" s="65"/>
      <c r="I28" s="65"/>
      <c r="J28" s="65"/>
      <c r="K28" s="65"/>
      <c r="L28" s="65"/>
      <c r="M28" s="65"/>
      <c r="N28" s="65"/>
      <c r="O28" s="65"/>
      <c r="P28" s="66">
        <f t="shared" si="0"/>
        <v>50</v>
      </c>
    </row>
    <row r="29" spans="1:16">
      <c r="A29" s="3">
        <v>27</v>
      </c>
      <c r="B29" s="3" t="s">
        <v>2</v>
      </c>
      <c r="C29" s="74" t="s">
        <v>75</v>
      </c>
      <c r="D29" s="64">
        <v>8</v>
      </c>
      <c r="E29" s="64">
        <v>15</v>
      </c>
      <c r="F29" s="64">
        <v>9</v>
      </c>
      <c r="G29" s="64">
        <v>17</v>
      </c>
      <c r="H29" s="65"/>
      <c r="I29" s="65"/>
      <c r="J29" s="65"/>
      <c r="K29" s="65"/>
      <c r="L29" s="65"/>
      <c r="M29" s="65"/>
      <c r="N29" s="65"/>
      <c r="O29" s="65"/>
      <c r="P29" s="66">
        <f t="shared" si="0"/>
        <v>49</v>
      </c>
    </row>
    <row r="30" spans="1:16">
      <c r="A30" s="3">
        <v>28</v>
      </c>
      <c r="B30" s="3" t="s">
        <v>2</v>
      </c>
      <c r="C30" s="74" t="s">
        <v>76</v>
      </c>
      <c r="D30" s="64">
        <v>10</v>
      </c>
      <c r="E30" s="64">
        <v>10</v>
      </c>
      <c r="F30" s="64">
        <v>12</v>
      </c>
      <c r="G30" s="64">
        <v>15</v>
      </c>
      <c r="H30" s="65"/>
      <c r="I30" s="65"/>
      <c r="J30" s="65"/>
      <c r="K30" s="65"/>
      <c r="L30" s="65"/>
      <c r="M30" s="65"/>
      <c r="N30" s="65"/>
      <c r="O30" s="65"/>
      <c r="P30" s="66">
        <f t="shared" si="0"/>
        <v>47</v>
      </c>
    </row>
    <row r="31" spans="1:16">
      <c r="A31" s="3">
        <v>29</v>
      </c>
      <c r="B31" s="3" t="s">
        <v>2</v>
      </c>
      <c r="C31" s="74" t="s">
        <v>77</v>
      </c>
      <c r="D31" s="64">
        <v>10</v>
      </c>
      <c r="E31" s="64">
        <v>12</v>
      </c>
      <c r="F31" s="64">
        <v>17</v>
      </c>
      <c r="G31" s="64">
        <v>5</v>
      </c>
      <c r="H31" s="65"/>
      <c r="I31" s="65"/>
      <c r="J31" s="65"/>
      <c r="K31" s="65"/>
      <c r="L31" s="65"/>
      <c r="M31" s="65"/>
      <c r="N31" s="65"/>
      <c r="O31" s="65"/>
      <c r="P31" s="66">
        <f t="shared" si="0"/>
        <v>44</v>
      </c>
    </row>
    <row r="32" spans="1:16">
      <c r="A32" s="3">
        <v>30</v>
      </c>
      <c r="B32" s="3" t="s">
        <v>2</v>
      </c>
      <c r="C32" s="74" t="s">
        <v>78</v>
      </c>
      <c r="D32" s="64">
        <v>17</v>
      </c>
      <c r="E32" s="64">
        <v>11</v>
      </c>
      <c r="F32" s="64">
        <v>8</v>
      </c>
      <c r="G32" s="64">
        <v>7</v>
      </c>
      <c r="H32" s="65"/>
      <c r="I32" s="65"/>
      <c r="J32" s="65"/>
      <c r="K32" s="65"/>
      <c r="L32" s="65"/>
      <c r="M32" s="65"/>
      <c r="N32" s="65"/>
      <c r="O32" s="65"/>
      <c r="P32" s="66">
        <f t="shared" si="0"/>
        <v>43</v>
      </c>
    </row>
    <row r="33" spans="1:16">
      <c r="A33" s="3">
        <v>31</v>
      </c>
      <c r="B33" s="3" t="s">
        <v>2</v>
      </c>
      <c r="C33" s="74" t="s">
        <v>79</v>
      </c>
      <c r="D33" s="64">
        <v>12</v>
      </c>
      <c r="E33" s="64">
        <v>12</v>
      </c>
      <c r="F33" s="64">
        <v>10</v>
      </c>
      <c r="G33" s="64">
        <v>8</v>
      </c>
      <c r="H33" s="65"/>
      <c r="I33" s="65"/>
      <c r="J33" s="65"/>
      <c r="K33" s="65"/>
      <c r="L33" s="65"/>
      <c r="M33" s="65"/>
      <c r="N33" s="65"/>
      <c r="O33" s="65"/>
      <c r="P33" s="66">
        <f t="shared" si="0"/>
        <v>42</v>
      </c>
    </row>
    <row r="34" spans="1:16">
      <c r="A34" s="3">
        <v>32</v>
      </c>
      <c r="B34" s="3" t="s">
        <v>2</v>
      </c>
      <c r="C34" s="74" t="s">
        <v>80</v>
      </c>
      <c r="D34" s="64">
        <v>9</v>
      </c>
      <c r="E34" s="64">
        <v>8</v>
      </c>
      <c r="F34" s="64">
        <v>10</v>
      </c>
      <c r="G34" s="64">
        <v>11</v>
      </c>
      <c r="H34" s="65"/>
      <c r="I34" s="65"/>
      <c r="J34" s="65"/>
      <c r="K34" s="65"/>
      <c r="L34" s="65"/>
      <c r="M34" s="65"/>
      <c r="N34" s="65"/>
      <c r="O34" s="65"/>
      <c r="P34" s="66">
        <f t="shared" si="0"/>
        <v>38</v>
      </c>
    </row>
    <row r="35" spans="1:16">
      <c r="A35" s="3">
        <v>33</v>
      </c>
      <c r="B35" s="3" t="s">
        <v>2</v>
      </c>
      <c r="C35" s="74" t="s">
        <v>81</v>
      </c>
      <c r="D35" s="64">
        <v>6</v>
      </c>
      <c r="E35" s="64">
        <v>7</v>
      </c>
      <c r="F35" s="64">
        <v>10</v>
      </c>
      <c r="G35" s="64">
        <v>15</v>
      </c>
      <c r="H35" s="65"/>
      <c r="I35" s="65"/>
      <c r="J35" s="65"/>
      <c r="K35" s="65"/>
      <c r="L35" s="65"/>
      <c r="M35" s="65"/>
      <c r="N35" s="65"/>
      <c r="O35" s="65"/>
      <c r="P35" s="66">
        <f t="shared" si="0"/>
        <v>38</v>
      </c>
    </row>
    <row r="36" spans="1:16">
      <c r="A36" s="3">
        <v>34</v>
      </c>
      <c r="B36" s="3" t="s">
        <v>2</v>
      </c>
      <c r="C36" s="74" t="s">
        <v>82</v>
      </c>
      <c r="D36" s="64">
        <v>8</v>
      </c>
      <c r="E36" s="64">
        <v>7</v>
      </c>
      <c r="F36" s="64">
        <v>9</v>
      </c>
      <c r="G36" s="64">
        <v>12</v>
      </c>
      <c r="H36" s="65"/>
      <c r="I36" s="65"/>
      <c r="J36" s="65"/>
      <c r="K36" s="65"/>
      <c r="L36" s="65"/>
      <c r="M36" s="65"/>
      <c r="N36" s="65"/>
      <c r="O36" s="65"/>
      <c r="P36" s="66">
        <f t="shared" si="0"/>
        <v>36</v>
      </c>
    </row>
    <row r="37" spans="1:16">
      <c r="A37" s="3">
        <v>35</v>
      </c>
      <c r="B37" s="3" t="s">
        <v>2</v>
      </c>
      <c r="C37" s="74" t="s">
        <v>83</v>
      </c>
      <c r="D37" s="64">
        <v>6</v>
      </c>
      <c r="E37" s="64">
        <v>11</v>
      </c>
      <c r="F37" s="64">
        <v>7</v>
      </c>
      <c r="G37" s="64">
        <v>10</v>
      </c>
      <c r="H37" s="65"/>
      <c r="I37" s="65"/>
      <c r="J37" s="65"/>
      <c r="K37" s="65"/>
      <c r="L37" s="65"/>
      <c r="M37" s="65"/>
      <c r="N37" s="65"/>
      <c r="O37" s="65"/>
      <c r="P37" s="66">
        <f t="shared" si="0"/>
        <v>34</v>
      </c>
    </row>
    <row r="38" spans="1:16">
      <c r="A38" s="3">
        <v>36</v>
      </c>
      <c r="B38" s="3" t="s">
        <v>2</v>
      </c>
      <c r="C38" s="74" t="s">
        <v>84</v>
      </c>
      <c r="D38" s="64">
        <v>8</v>
      </c>
      <c r="E38" s="64">
        <v>7</v>
      </c>
      <c r="F38" s="64">
        <v>9</v>
      </c>
      <c r="G38" s="64">
        <v>8</v>
      </c>
      <c r="H38" s="65"/>
      <c r="I38" s="65"/>
      <c r="J38" s="65"/>
      <c r="K38" s="65"/>
      <c r="L38" s="65"/>
      <c r="M38" s="65"/>
      <c r="N38" s="65"/>
      <c r="O38" s="65"/>
      <c r="P38" s="66">
        <f t="shared" si="0"/>
        <v>32</v>
      </c>
    </row>
    <row r="39" spans="1:16">
      <c r="A39" s="3">
        <v>37</v>
      </c>
      <c r="B39" s="3" t="s">
        <v>2</v>
      </c>
      <c r="C39" s="74" t="s">
        <v>85</v>
      </c>
      <c r="D39" s="64">
        <v>7</v>
      </c>
      <c r="E39" s="64">
        <v>10</v>
      </c>
      <c r="F39" s="64">
        <v>8</v>
      </c>
      <c r="G39" s="64">
        <v>5</v>
      </c>
      <c r="H39" s="65"/>
      <c r="I39" s="65"/>
      <c r="J39" s="65"/>
      <c r="K39" s="65"/>
      <c r="L39" s="65"/>
      <c r="M39" s="65"/>
      <c r="N39" s="65"/>
      <c r="O39" s="65"/>
      <c r="P39" s="66">
        <f t="shared" si="0"/>
        <v>30</v>
      </c>
    </row>
    <row r="40" spans="1:16">
      <c r="A40" s="3">
        <v>38</v>
      </c>
      <c r="B40" s="3" t="s">
        <v>2</v>
      </c>
      <c r="C40" s="74" t="s">
        <v>86</v>
      </c>
      <c r="D40" s="64">
        <v>8</v>
      </c>
      <c r="E40" s="64">
        <v>4</v>
      </c>
      <c r="F40" s="64">
        <v>10</v>
      </c>
      <c r="G40" s="64">
        <v>7</v>
      </c>
      <c r="H40" s="65"/>
      <c r="I40" s="65"/>
      <c r="J40" s="65"/>
      <c r="K40" s="65"/>
      <c r="L40" s="65"/>
      <c r="M40" s="65"/>
      <c r="N40" s="65"/>
      <c r="O40" s="65"/>
      <c r="P40" s="66">
        <f t="shared" si="0"/>
        <v>29</v>
      </c>
    </row>
    <row r="41" spans="1:16">
      <c r="A41" s="3">
        <v>39</v>
      </c>
      <c r="B41" s="3" t="s">
        <v>2</v>
      </c>
      <c r="C41" s="74" t="s">
        <v>87</v>
      </c>
      <c r="D41" s="64">
        <v>9</v>
      </c>
      <c r="E41" s="64">
        <v>12</v>
      </c>
      <c r="F41" s="64">
        <v>2</v>
      </c>
      <c r="G41" s="64">
        <v>2</v>
      </c>
      <c r="H41" s="65"/>
      <c r="I41" s="65"/>
      <c r="J41" s="65"/>
      <c r="K41" s="65"/>
      <c r="L41" s="65"/>
      <c r="M41" s="65"/>
      <c r="N41" s="65"/>
      <c r="O41" s="65"/>
      <c r="P41" s="66">
        <f t="shared" si="0"/>
        <v>25</v>
      </c>
    </row>
    <row r="42" spans="1:16">
      <c r="A42" s="3">
        <v>40</v>
      </c>
      <c r="B42" s="3" t="s">
        <v>2</v>
      </c>
      <c r="C42" s="74" t="s">
        <v>88</v>
      </c>
      <c r="D42" s="64">
        <v>5</v>
      </c>
      <c r="E42" s="64">
        <v>7</v>
      </c>
      <c r="F42" s="64">
        <v>6</v>
      </c>
      <c r="G42" s="64">
        <v>5</v>
      </c>
      <c r="H42" s="65"/>
      <c r="I42" s="65"/>
      <c r="J42" s="65"/>
      <c r="K42" s="65"/>
      <c r="L42" s="65"/>
      <c r="M42" s="65"/>
      <c r="N42" s="65"/>
      <c r="O42" s="65"/>
      <c r="P42" s="66">
        <f t="shared" si="0"/>
        <v>23</v>
      </c>
    </row>
    <row r="43" spans="1:16">
      <c r="A43" s="3">
        <v>41</v>
      </c>
      <c r="B43" s="3" t="s">
        <v>2</v>
      </c>
      <c r="C43" s="74" t="s">
        <v>89</v>
      </c>
      <c r="D43" s="64">
        <v>15</v>
      </c>
      <c r="E43" s="64">
        <v>2</v>
      </c>
      <c r="F43" s="64">
        <v>6</v>
      </c>
      <c r="G43" s="64">
        <v>1</v>
      </c>
      <c r="H43" s="65"/>
      <c r="I43" s="65"/>
      <c r="J43" s="65"/>
      <c r="K43" s="65"/>
      <c r="L43" s="65"/>
      <c r="M43" s="65"/>
      <c r="N43" s="65"/>
      <c r="O43" s="65"/>
      <c r="P43" s="66">
        <f t="shared" si="0"/>
        <v>24</v>
      </c>
    </row>
    <row r="44" spans="1:16">
      <c r="A44" s="3">
        <v>42</v>
      </c>
      <c r="B44" s="3" t="s">
        <v>2</v>
      </c>
      <c r="C44" s="74" t="s">
        <v>90</v>
      </c>
      <c r="D44" s="64">
        <v>4</v>
      </c>
      <c r="E44" s="64">
        <v>3</v>
      </c>
      <c r="F44" s="64">
        <v>7</v>
      </c>
      <c r="G44" s="64">
        <v>8</v>
      </c>
      <c r="H44" s="65"/>
      <c r="I44" s="65"/>
      <c r="J44" s="65"/>
      <c r="K44" s="65"/>
      <c r="L44" s="65"/>
      <c r="M44" s="65"/>
      <c r="N44" s="65"/>
      <c r="O44" s="65"/>
      <c r="P44" s="66">
        <f t="shared" si="0"/>
        <v>22</v>
      </c>
    </row>
    <row r="45" spans="1:16">
      <c r="A45" s="3">
        <v>43</v>
      </c>
      <c r="B45" s="3" t="s">
        <v>2</v>
      </c>
      <c r="C45" s="74" t="s">
        <v>91</v>
      </c>
      <c r="D45" s="64">
        <v>4</v>
      </c>
      <c r="E45" s="64">
        <v>5</v>
      </c>
      <c r="F45" s="64">
        <v>9</v>
      </c>
      <c r="G45" s="64">
        <v>3</v>
      </c>
      <c r="H45" s="65"/>
      <c r="I45" s="65"/>
      <c r="J45" s="65"/>
      <c r="K45" s="65"/>
      <c r="L45" s="65"/>
      <c r="M45" s="65"/>
      <c r="N45" s="65"/>
      <c r="O45" s="65"/>
      <c r="P45" s="66">
        <f t="shared" si="0"/>
        <v>21</v>
      </c>
    </row>
    <row r="46" spans="1:16">
      <c r="A46" s="3">
        <v>44</v>
      </c>
      <c r="B46" s="3" t="s">
        <v>2</v>
      </c>
      <c r="C46" s="74" t="s">
        <v>92</v>
      </c>
      <c r="D46" s="64">
        <v>6</v>
      </c>
      <c r="E46" s="64">
        <v>2</v>
      </c>
      <c r="F46" s="64">
        <v>3</v>
      </c>
      <c r="G46" s="64">
        <v>9</v>
      </c>
      <c r="H46" s="65"/>
      <c r="I46" s="65"/>
      <c r="J46" s="65"/>
      <c r="K46" s="65"/>
      <c r="L46" s="65"/>
      <c r="M46" s="65"/>
      <c r="N46" s="65"/>
      <c r="O46" s="65"/>
      <c r="P46" s="66">
        <f t="shared" si="0"/>
        <v>20</v>
      </c>
    </row>
    <row r="47" spans="1:16">
      <c r="A47" s="3">
        <v>45</v>
      </c>
      <c r="B47" s="3" t="s">
        <v>2</v>
      </c>
      <c r="C47" s="74" t="s">
        <v>93</v>
      </c>
      <c r="D47" s="64">
        <v>3</v>
      </c>
      <c r="E47" s="64">
        <v>3</v>
      </c>
      <c r="F47" s="64">
        <v>7</v>
      </c>
      <c r="G47" s="64">
        <v>6</v>
      </c>
      <c r="H47" s="65"/>
      <c r="I47" s="65"/>
      <c r="J47" s="65"/>
      <c r="K47" s="65"/>
      <c r="L47" s="65"/>
      <c r="M47" s="65"/>
      <c r="N47" s="65"/>
      <c r="O47" s="65"/>
      <c r="P47" s="66">
        <f t="shared" si="0"/>
        <v>19</v>
      </c>
    </row>
    <row r="48" spans="1:16">
      <c r="A48" s="3">
        <v>46</v>
      </c>
      <c r="B48" s="3" t="s">
        <v>2</v>
      </c>
      <c r="C48" s="74" t="s">
        <v>94</v>
      </c>
      <c r="D48" s="64">
        <v>2</v>
      </c>
      <c r="E48" s="64">
        <v>6</v>
      </c>
      <c r="F48" s="64">
        <v>4</v>
      </c>
      <c r="G48" s="64">
        <v>6</v>
      </c>
      <c r="H48" s="65"/>
      <c r="I48" s="65"/>
      <c r="J48" s="65"/>
      <c r="K48" s="65"/>
      <c r="L48" s="65"/>
      <c r="M48" s="65"/>
      <c r="N48" s="65"/>
      <c r="O48" s="65"/>
      <c r="P48" s="66">
        <f t="shared" si="0"/>
        <v>18</v>
      </c>
    </row>
    <row r="49" spans="1:16">
      <c r="A49" s="3">
        <v>47</v>
      </c>
      <c r="B49" s="3" t="s">
        <v>2</v>
      </c>
      <c r="C49" s="74" t="s">
        <v>95</v>
      </c>
      <c r="D49" s="64">
        <v>7</v>
      </c>
      <c r="E49" s="64">
        <v>3</v>
      </c>
      <c r="F49" s="64">
        <v>5</v>
      </c>
      <c r="G49" s="64">
        <v>3</v>
      </c>
      <c r="H49" s="65"/>
      <c r="I49" s="65"/>
      <c r="J49" s="65"/>
      <c r="K49" s="65"/>
      <c r="L49" s="65"/>
      <c r="M49" s="65"/>
      <c r="N49" s="65"/>
      <c r="O49" s="65"/>
      <c r="P49" s="66">
        <f t="shared" si="0"/>
        <v>18</v>
      </c>
    </row>
    <row r="50" spans="1:16">
      <c r="A50" s="3">
        <v>48</v>
      </c>
      <c r="B50" s="3" t="s">
        <v>2</v>
      </c>
      <c r="C50" s="74" t="s">
        <v>96</v>
      </c>
      <c r="D50" s="64">
        <v>5</v>
      </c>
      <c r="E50" s="64">
        <v>4</v>
      </c>
      <c r="F50" s="64">
        <v>4</v>
      </c>
      <c r="G50" s="64">
        <v>5</v>
      </c>
      <c r="H50" s="65"/>
      <c r="I50" s="65"/>
      <c r="J50" s="65"/>
      <c r="K50" s="65"/>
      <c r="L50" s="65"/>
      <c r="M50" s="65"/>
      <c r="N50" s="65"/>
      <c r="O50" s="65"/>
      <c r="P50" s="66">
        <f t="shared" si="0"/>
        <v>18</v>
      </c>
    </row>
    <row r="51" spans="1:16">
      <c r="A51" s="3">
        <v>49</v>
      </c>
      <c r="B51" s="3" t="s">
        <v>2</v>
      </c>
      <c r="C51" s="74" t="s">
        <v>97</v>
      </c>
      <c r="D51" s="64">
        <v>5</v>
      </c>
      <c r="E51" s="64">
        <v>4</v>
      </c>
      <c r="F51" s="64">
        <v>5</v>
      </c>
      <c r="G51" s="64">
        <v>3</v>
      </c>
      <c r="H51" s="65"/>
      <c r="I51" s="65"/>
      <c r="J51" s="65"/>
      <c r="K51" s="65"/>
      <c r="L51" s="65"/>
      <c r="M51" s="65"/>
      <c r="N51" s="65"/>
      <c r="O51" s="65"/>
      <c r="P51" s="66">
        <f t="shared" si="0"/>
        <v>17</v>
      </c>
    </row>
    <row r="52" spans="1:16">
      <c r="A52" s="3">
        <v>50</v>
      </c>
      <c r="B52" s="3" t="s">
        <v>2</v>
      </c>
      <c r="C52" s="74" t="s">
        <v>98</v>
      </c>
      <c r="D52" s="64">
        <v>1</v>
      </c>
      <c r="E52" s="64">
        <v>5</v>
      </c>
      <c r="F52" s="64">
        <v>4</v>
      </c>
      <c r="G52" s="64">
        <v>5</v>
      </c>
      <c r="H52" s="65"/>
      <c r="I52" s="65"/>
      <c r="J52" s="65"/>
      <c r="K52" s="65"/>
      <c r="L52" s="65"/>
      <c r="M52" s="65"/>
      <c r="N52" s="65"/>
      <c r="O52" s="65"/>
      <c r="P52" s="66">
        <f t="shared" si="0"/>
        <v>15</v>
      </c>
    </row>
    <row r="53" spans="1:16">
      <c r="A53" s="3">
        <v>51</v>
      </c>
      <c r="B53" s="3" t="s">
        <v>2</v>
      </c>
      <c r="C53" s="74" t="s">
        <v>99</v>
      </c>
      <c r="D53" s="64">
        <v>6</v>
      </c>
      <c r="E53" s="64">
        <v>2</v>
      </c>
      <c r="F53" s="64">
        <v>5</v>
      </c>
      <c r="G53" s="64"/>
      <c r="H53" s="65"/>
      <c r="I53" s="65"/>
      <c r="J53" s="65"/>
      <c r="K53" s="65"/>
      <c r="L53" s="65"/>
      <c r="M53" s="65"/>
      <c r="N53" s="65"/>
      <c r="O53" s="65"/>
      <c r="P53" s="66">
        <f t="shared" si="0"/>
        <v>13</v>
      </c>
    </row>
    <row r="54" spans="1:16">
      <c r="A54" s="3">
        <v>52</v>
      </c>
      <c r="B54" s="3" t="s">
        <v>2</v>
      </c>
      <c r="C54" s="74" t="s">
        <v>100</v>
      </c>
      <c r="D54" s="64">
        <v>3</v>
      </c>
      <c r="E54" s="64">
        <v>1</v>
      </c>
      <c r="F54" s="64">
        <v>3</v>
      </c>
      <c r="G54" s="64">
        <v>3</v>
      </c>
      <c r="H54" s="65"/>
      <c r="I54" s="65"/>
      <c r="J54" s="65"/>
      <c r="K54" s="65"/>
      <c r="L54" s="65"/>
      <c r="M54" s="65"/>
      <c r="N54" s="65"/>
      <c r="O54" s="65"/>
      <c r="P54" s="66">
        <f t="shared" si="0"/>
        <v>10</v>
      </c>
    </row>
    <row r="55" spans="1:16">
      <c r="A55" s="3">
        <v>53</v>
      </c>
      <c r="B55" s="3" t="s">
        <v>2</v>
      </c>
      <c r="C55" s="74" t="s">
        <v>101</v>
      </c>
      <c r="D55" s="64">
        <v>3</v>
      </c>
      <c r="E55" s="64">
        <v>3</v>
      </c>
      <c r="F55" s="64">
        <v>3</v>
      </c>
      <c r="G55" s="64"/>
      <c r="H55" s="65"/>
      <c r="I55" s="65"/>
      <c r="J55" s="65"/>
      <c r="K55" s="65"/>
      <c r="L55" s="65"/>
      <c r="M55" s="65"/>
      <c r="N55" s="65"/>
      <c r="O55" s="65"/>
      <c r="P55" s="66">
        <f t="shared" si="0"/>
        <v>9</v>
      </c>
    </row>
    <row r="56" spans="1:16">
      <c r="A56" s="3">
        <v>54</v>
      </c>
      <c r="B56" s="3" t="s">
        <v>2</v>
      </c>
      <c r="C56" s="74" t="s">
        <v>102</v>
      </c>
      <c r="D56" s="64">
        <v>2</v>
      </c>
      <c r="E56" s="64">
        <v>1</v>
      </c>
      <c r="F56" s="64"/>
      <c r="G56" s="64">
        <v>6</v>
      </c>
      <c r="H56" s="65"/>
      <c r="I56" s="65"/>
      <c r="J56" s="65"/>
      <c r="K56" s="65"/>
      <c r="L56" s="65"/>
      <c r="M56" s="65"/>
      <c r="N56" s="65"/>
      <c r="O56" s="65"/>
      <c r="P56" s="66">
        <f t="shared" si="0"/>
        <v>9</v>
      </c>
    </row>
    <row r="57" spans="1:16">
      <c r="A57" s="3">
        <v>55</v>
      </c>
      <c r="B57" s="3" t="s">
        <v>2</v>
      </c>
      <c r="C57" s="74" t="s">
        <v>103</v>
      </c>
      <c r="D57" s="64">
        <v>4</v>
      </c>
      <c r="E57" s="64">
        <v>1</v>
      </c>
      <c r="F57" s="64">
        <v>1</v>
      </c>
      <c r="G57" s="64">
        <v>2</v>
      </c>
      <c r="H57" s="65"/>
      <c r="I57" s="65"/>
      <c r="J57" s="65"/>
      <c r="K57" s="65"/>
      <c r="L57" s="65"/>
      <c r="M57" s="65"/>
      <c r="N57" s="65"/>
      <c r="O57" s="65"/>
      <c r="P57" s="66">
        <f t="shared" si="0"/>
        <v>8</v>
      </c>
    </row>
    <row r="58" spans="1:16">
      <c r="A58" s="3">
        <v>56</v>
      </c>
      <c r="B58" s="3" t="s">
        <v>2</v>
      </c>
      <c r="C58" s="74" t="s">
        <v>104</v>
      </c>
      <c r="D58" s="64"/>
      <c r="E58" s="64">
        <v>2</v>
      </c>
      <c r="F58" s="64">
        <v>5</v>
      </c>
      <c r="G58" s="64">
        <v>1</v>
      </c>
      <c r="H58" s="65"/>
      <c r="I58" s="65"/>
      <c r="J58" s="65"/>
      <c r="K58" s="65"/>
      <c r="L58" s="65"/>
      <c r="M58" s="65"/>
      <c r="N58" s="65"/>
      <c r="O58" s="65"/>
      <c r="P58" s="66">
        <f t="shared" si="0"/>
        <v>8</v>
      </c>
    </row>
    <row r="59" spans="1:16">
      <c r="A59" s="3">
        <v>57</v>
      </c>
      <c r="B59" s="3" t="s">
        <v>2</v>
      </c>
      <c r="C59" s="74" t="s">
        <v>105</v>
      </c>
      <c r="D59" s="64">
        <v>1</v>
      </c>
      <c r="E59" s="64">
        <v>1</v>
      </c>
      <c r="F59" s="64">
        <v>1</v>
      </c>
      <c r="G59" s="64">
        <v>4</v>
      </c>
      <c r="H59" s="65"/>
      <c r="I59" s="65"/>
      <c r="J59" s="65"/>
      <c r="K59" s="65"/>
      <c r="L59" s="65"/>
      <c r="M59" s="65"/>
      <c r="N59" s="65"/>
      <c r="O59" s="65"/>
      <c r="P59" s="66">
        <f t="shared" si="0"/>
        <v>7</v>
      </c>
    </row>
    <row r="60" spans="1:16">
      <c r="A60" s="3">
        <v>58</v>
      </c>
      <c r="B60" s="3" t="s">
        <v>2</v>
      </c>
      <c r="C60" s="74" t="s">
        <v>106</v>
      </c>
      <c r="D60" s="64">
        <v>2</v>
      </c>
      <c r="E60" s="64">
        <v>2</v>
      </c>
      <c r="F60" s="64">
        <v>2</v>
      </c>
      <c r="G60" s="64">
        <v>1</v>
      </c>
      <c r="H60" s="65"/>
      <c r="I60" s="65"/>
      <c r="J60" s="65"/>
      <c r="K60" s="65"/>
      <c r="L60" s="65"/>
      <c r="M60" s="65"/>
      <c r="N60" s="65"/>
      <c r="O60" s="65"/>
      <c r="P60" s="66">
        <f t="shared" si="0"/>
        <v>7</v>
      </c>
    </row>
    <row r="61" spans="1:16">
      <c r="A61" s="3">
        <v>59</v>
      </c>
      <c r="B61" s="3" t="s">
        <v>2</v>
      </c>
      <c r="C61" s="74" t="s">
        <v>107</v>
      </c>
      <c r="D61" s="64">
        <v>1</v>
      </c>
      <c r="E61" s="64">
        <v>1</v>
      </c>
      <c r="F61" s="64">
        <v>2</v>
      </c>
      <c r="G61" s="64">
        <v>1</v>
      </c>
      <c r="H61" s="65"/>
      <c r="I61" s="65"/>
      <c r="J61" s="65"/>
      <c r="K61" s="65"/>
      <c r="L61" s="65"/>
      <c r="M61" s="65"/>
      <c r="N61" s="65"/>
      <c r="O61" s="65"/>
      <c r="P61" s="66">
        <f t="shared" si="0"/>
        <v>5</v>
      </c>
    </row>
    <row r="62" spans="1:16">
      <c r="A62" s="3">
        <v>60</v>
      </c>
      <c r="B62" s="3" t="s">
        <v>2</v>
      </c>
      <c r="C62" s="74" t="s">
        <v>108</v>
      </c>
      <c r="D62" s="64"/>
      <c r="E62" s="64">
        <v>2</v>
      </c>
      <c r="F62" s="64">
        <v>2</v>
      </c>
      <c r="G62" s="64">
        <v>2</v>
      </c>
      <c r="H62" s="65"/>
      <c r="I62" s="65"/>
      <c r="J62" s="65"/>
      <c r="K62" s="65"/>
      <c r="L62" s="65"/>
      <c r="M62" s="65"/>
      <c r="N62" s="65"/>
      <c r="O62" s="65"/>
      <c r="P62" s="66">
        <f t="shared" si="0"/>
        <v>6</v>
      </c>
    </row>
    <row r="63" spans="1:16">
      <c r="A63" s="3">
        <v>61</v>
      </c>
      <c r="B63" s="3" t="s">
        <v>2</v>
      </c>
      <c r="C63" s="74" t="s">
        <v>109</v>
      </c>
      <c r="D63" s="64">
        <v>1</v>
      </c>
      <c r="E63" s="64">
        <v>3</v>
      </c>
      <c r="F63" s="64">
        <v>1</v>
      </c>
      <c r="G63" s="64">
        <v>1</v>
      </c>
      <c r="H63" s="65"/>
      <c r="I63" s="65"/>
      <c r="J63" s="65"/>
      <c r="K63" s="65"/>
      <c r="L63" s="65"/>
      <c r="M63" s="65"/>
      <c r="N63" s="65"/>
      <c r="O63" s="65"/>
      <c r="P63" s="66">
        <f t="shared" si="0"/>
        <v>6</v>
      </c>
    </row>
    <row r="64" spans="1:16">
      <c r="A64" s="3">
        <v>62</v>
      </c>
      <c r="B64" s="3" t="s">
        <v>2</v>
      </c>
      <c r="C64" s="74" t="s">
        <v>110</v>
      </c>
      <c r="D64" s="64">
        <v>2</v>
      </c>
      <c r="E64" s="64">
        <v>1</v>
      </c>
      <c r="F64" s="64">
        <v>2</v>
      </c>
      <c r="G64" s="64"/>
      <c r="H64" s="65"/>
      <c r="I64" s="65"/>
      <c r="J64" s="65"/>
      <c r="K64" s="65"/>
      <c r="L64" s="65"/>
      <c r="M64" s="65"/>
      <c r="N64" s="65"/>
      <c r="O64" s="65"/>
      <c r="P64" s="66">
        <f t="shared" si="0"/>
        <v>5</v>
      </c>
    </row>
    <row r="65" spans="1:16">
      <c r="A65" s="3">
        <v>63</v>
      </c>
      <c r="B65" s="3" t="s">
        <v>2</v>
      </c>
      <c r="C65" s="74" t="s">
        <v>111</v>
      </c>
      <c r="D65" s="64">
        <v>2</v>
      </c>
      <c r="E65" s="64">
        <v>1</v>
      </c>
      <c r="F65" s="64">
        <v>2</v>
      </c>
      <c r="G65" s="64"/>
      <c r="H65" s="65"/>
      <c r="I65" s="65"/>
      <c r="J65" s="65"/>
      <c r="K65" s="65"/>
      <c r="L65" s="65"/>
      <c r="M65" s="65"/>
      <c r="N65" s="65"/>
      <c r="O65" s="65"/>
      <c r="P65" s="66">
        <f t="shared" si="0"/>
        <v>5</v>
      </c>
    </row>
    <row r="66" spans="1:16">
      <c r="A66" s="3">
        <v>64</v>
      </c>
      <c r="B66" s="3" t="s">
        <v>2</v>
      </c>
      <c r="C66" s="74" t="s">
        <v>112</v>
      </c>
      <c r="D66" s="64">
        <v>1</v>
      </c>
      <c r="E66" s="64">
        <v>2</v>
      </c>
      <c r="F66" s="64">
        <v>1</v>
      </c>
      <c r="G66" s="64">
        <v>1</v>
      </c>
      <c r="H66" s="65"/>
      <c r="I66" s="65"/>
      <c r="J66" s="65"/>
      <c r="K66" s="65"/>
      <c r="L66" s="65"/>
      <c r="M66" s="65"/>
      <c r="N66" s="65"/>
      <c r="O66" s="65"/>
      <c r="P66" s="66">
        <f t="shared" si="0"/>
        <v>5</v>
      </c>
    </row>
    <row r="67" spans="1:16">
      <c r="A67" s="3">
        <v>65</v>
      </c>
      <c r="B67" s="3" t="s">
        <v>2</v>
      </c>
      <c r="C67" s="74" t="s">
        <v>113</v>
      </c>
      <c r="D67" s="64">
        <v>2</v>
      </c>
      <c r="E67" s="64"/>
      <c r="F67" s="64"/>
      <c r="G67" s="64">
        <v>1</v>
      </c>
      <c r="H67" s="65"/>
      <c r="I67" s="65"/>
      <c r="J67" s="65"/>
      <c r="K67" s="65"/>
      <c r="L67" s="65"/>
      <c r="M67" s="65"/>
      <c r="N67" s="65"/>
      <c r="O67" s="65"/>
      <c r="P67" s="66">
        <f t="shared" si="0"/>
        <v>3</v>
      </c>
    </row>
    <row r="68" spans="1:16">
      <c r="A68" s="3">
        <v>66</v>
      </c>
      <c r="B68" s="3" t="s">
        <v>2</v>
      </c>
      <c r="C68" s="74" t="s">
        <v>114</v>
      </c>
      <c r="D68" s="64">
        <v>1</v>
      </c>
      <c r="E68" s="64">
        <v>1</v>
      </c>
      <c r="F68" s="64">
        <v>1</v>
      </c>
      <c r="G68" s="64">
        <v>1</v>
      </c>
      <c r="H68" s="65"/>
      <c r="I68" s="65"/>
      <c r="J68" s="65"/>
      <c r="K68" s="65"/>
      <c r="L68" s="65"/>
      <c r="M68" s="65"/>
      <c r="N68" s="65"/>
      <c r="O68" s="65"/>
      <c r="P68" s="66">
        <f t="shared" ref="P68:P97" si="1">SUM(D68:O68)</f>
        <v>4</v>
      </c>
    </row>
    <row r="69" spans="1:16">
      <c r="A69" s="3">
        <v>67</v>
      </c>
      <c r="B69" s="3" t="s">
        <v>2</v>
      </c>
      <c r="C69" s="74" t="s">
        <v>115</v>
      </c>
      <c r="D69" s="64">
        <v>1</v>
      </c>
      <c r="E69" s="64">
        <v>2</v>
      </c>
      <c r="F69" s="64">
        <v>1</v>
      </c>
      <c r="G69" s="64"/>
      <c r="H69" s="65"/>
      <c r="I69" s="65"/>
      <c r="J69" s="65"/>
      <c r="K69" s="65"/>
      <c r="L69" s="65"/>
      <c r="M69" s="65"/>
      <c r="N69" s="65"/>
      <c r="O69" s="65"/>
      <c r="P69" s="66">
        <f t="shared" si="1"/>
        <v>4</v>
      </c>
    </row>
    <row r="70" spans="1:16">
      <c r="A70" s="3">
        <v>68</v>
      </c>
      <c r="B70" s="3" t="s">
        <v>2</v>
      </c>
      <c r="C70" s="74" t="s">
        <v>116</v>
      </c>
      <c r="D70" s="64">
        <v>2</v>
      </c>
      <c r="E70" s="64"/>
      <c r="F70" s="64">
        <v>2</v>
      </c>
      <c r="G70" s="64"/>
      <c r="H70" s="65"/>
      <c r="I70" s="65"/>
      <c r="J70" s="65"/>
      <c r="K70" s="65"/>
      <c r="L70" s="65"/>
      <c r="M70" s="65"/>
      <c r="N70" s="65"/>
      <c r="O70" s="65"/>
      <c r="P70" s="66">
        <f t="shared" si="1"/>
        <v>4</v>
      </c>
    </row>
    <row r="71" spans="1:16">
      <c r="A71" s="3">
        <v>69</v>
      </c>
      <c r="B71" s="3" t="s">
        <v>2</v>
      </c>
      <c r="C71" s="74" t="s">
        <v>117</v>
      </c>
      <c r="D71" s="64">
        <v>2</v>
      </c>
      <c r="E71" s="64"/>
      <c r="F71" s="64"/>
      <c r="G71" s="64"/>
      <c r="H71" s="65"/>
      <c r="I71" s="65"/>
      <c r="J71" s="65"/>
      <c r="K71" s="65"/>
      <c r="L71" s="65"/>
      <c r="M71" s="65"/>
      <c r="N71" s="65"/>
      <c r="O71" s="65"/>
      <c r="P71" s="66">
        <f t="shared" si="1"/>
        <v>2</v>
      </c>
    </row>
    <row r="72" spans="1:16">
      <c r="A72" s="3">
        <v>70</v>
      </c>
      <c r="B72" s="3" t="s">
        <v>2</v>
      </c>
      <c r="C72" s="74" t="s">
        <v>118</v>
      </c>
      <c r="D72" s="64"/>
      <c r="E72" s="64">
        <v>2</v>
      </c>
      <c r="F72" s="64">
        <v>1</v>
      </c>
      <c r="G72" s="64"/>
      <c r="H72" s="65"/>
      <c r="I72" s="65"/>
      <c r="J72" s="65"/>
      <c r="K72" s="65"/>
      <c r="L72" s="65"/>
      <c r="M72" s="65"/>
      <c r="N72" s="65"/>
      <c r="O72" s="65"/>
      <c r="P72" s="66">
        <f t="shared" si="1"/>
        <v>3</v>
      </c>
    </row>
    <row r="73" spans="1:16">
      <c r="A73" s="3">
        <v>71</v>
      </c>
      <c r="B73" s="3" t="s">
        <v>2</v>
      </c>
      <c r="C73" s="74" t="s">
        <v>119</v>
      </c>
      <c r="D73" s="64">
        <v>1</v>
      </c>
      <c r="E73" s="64"/>
      <c r="F73" s="64">
        <v>1</v>
      </c>
      <c r="G73" s="64">
        <v>1</v>
      </c>
      <c r="H73" s="65"/>
      <c r="I73" s="65"/>
      <c r="J73" s="65"/>
      <c r="K73" s="65"/>
      <c r="L73" s="65"/>
      <c r="M73" s="65"/>
      <c r="N73" s="65"/>
      <c r="O73" s="65"/>
      <c r="P73" s="66">
        <f t="shared" si="1"/>
        <v>3</v>
      </c>
    </row>
    <row r="74" spans="1:16">
      <c r="A74" s="3">
        <v>72</v>
      </c>
      <c r="B74" s="3" t="s">
        <v>2</v>
      </c>
      <c r="C74" s="74" t="s">
        <v>120</v>
      </c>
      <c r="D74" s="64">
        <v>1</v>
      </c>
      <c r="E74" s="64"/>
      <c r="F74" s="64"/>
      <c r="G74" s="64">
        <v>2</v>
      </c>
      <c r="H74" s="65"/>
      <c r="I74" s="65"/>
      <c r="J74" s="65"/>
      <c r="K74" s="65"/>
      <c r="L74" s="65"/>
      <c r="M74" s="65"/>
      <c r="N74" s="65"/>
      <c r="O74" s="65"/>
      <c r="P74" s="66">
        <f t="shared" si="1"/>
        <v>3</v>
      </c>
    </row>
    <row r="75" spans="1:16">
      <c r="A75" s="3">
        <v>73</v>
      </c>
      <c r="B75" s="3" t="s">
        <v>2</v>
      </c>
      <c r="C75" s="74" t="s">
        <v>121</v>
      </c>
      <c r="D75" s="64">
        <v>1</v>
      </c>
      <c r="E75" s="64"/>
      <c r="F75" s="64">
        <v>2</v>
      </c>
      <c r="G75" s="64"/>
      <c r="H75" s="65"/>
      <c r="I75" s="65"/>
      <c r="J75" s="65"/>
      <c r="K75" s="65"/>
      <c r="L75" s="65"/>
      <c r="M75" s="65"/>
      <c r="N75" s="65"/>
      <c r="O75" s="65"/>
      <c r="P75" s="66">
        <f t="shared" si="1"/>
        <v>3</v>
      </c>
    </row>
    <row r="76" spans="1:16">
      <c r="A76" s="3">
        <v>74</v>
      </c>
      <c r="B76" s="3" t="s">
        <v>2</v>
      </c>
      <c r="C76" s="74" t="s">
        <v>122</v>
      </c>
      <c r="D76" s="64"/>
      <c r="E76" s="64"/>
      <c r="F76" s="64"/>
      <c r="G76" s="64">
        <v>2</v>
      </c>
      <c r="H76" s="65"/>
      <c r="I76" s="65"/>
      <c r="J76" s="65"/>
      <c r="K76" s="65"/>
      <c r="L76" s="65"/>
      <c r="M76" s="65"/>
      <c r="N76" s="65"/>
      <c r="O76" s="65"/>
      <c r="P76" s="66">
        <f t="shared" si="1"/>
        <v>2</v>
      </c>
    </row>
    <row r="77" spans="1:16">
      <c r="A77" s="3">
        <v>75</v>
      </c>
      <c r="B77" s="3" t="s">
        <v>2</v>
      </c>
      <c r="C77" s="74" t="s">
        <v>123</v>
      </c>
      <c r="D77" s="64">
        <v>2</v>
      </c>
      <c r="E77" s="64"/>
      <c r="F77" s="64"/>
      <c r="G77" s="64"/>
      <c r="H77" s="65"/>
      <c r="I77" s="65"/>
      <c r="J77" s="65"/>
      <c r="K77" s="65"/>
      <c r="L77" s="65"/>
      <c r="M77" s="65"/>
      <c r="N77" s="65"/>
      <c r="O77" s="65"/>
      <c r="P77" s="66">
        <f t="shared" si="1"/>
        <v>2</v>
      </c>
    </row>
    <row r="78" spans="1:16">
      <c r="A78" s="3">
        <v>76</v>
      </c>
      <c r="B78" s="3" t="s">
        <v>2</v>
      </c>
      <c r="C78" s="75" t="s">
        <v>124</v>
      </c>
      <c r="D78" s="68"/>
      <c r="E78" s="68">
        <v>2</v>
      </c>
      <c r="F78" s="68"/>
      <c r="G78" s="68"/>
      <c r="H78" s="65"/>
      <c r="I78" s="65"/>
      <c r="J78" s="65"/>
      <c r="K78" s="65"/>
      <c r="L78" s="65"/>
      <c r="M78" s="65"/>
      <c r="N78" s="65"/>
      <c r="O78" s="65"/>
      <c r="P78" s="66">
        <f t="shared" si="1"/>
        <v>2</v>
      </c>
    </row>
    <row r="79" spans="1:16">
      <c r="A79" s="3">
        <v>77</v>
      </c>
      <c r="B79" s="3" t="s">
        <v>2</v>
      </c>
      <c r="C79" s="74" t="s">
        <v>125</v>
      </c>
      <c r="D79" s="64"/>
      <c r="E79" s="64"/>
      <c r="F79" s="64">
        <v>2</v>
      </c>
      <c r="G79" s="64"/>
      <c r="H79" s="65"/>
      <c r="I79" s="65"/>
      <c r="J79" s="65"/>
      <c r="K79" s="65"/>
      <c r="L79" s="65"/>
      <c r="M79" s="65"/>
      <c r="N79" s="65"/>
      <c r="O79" s="65"/>
      <c r="P79" s="66">
        <f t="shared" si="1"/>
        <v>2</v>
      </c>
    </row>
    <row r="80" spans="1:16">
      <c r="A80" s="3">
        <v>78</v>
      </c>
      <c r="B80" s="3" t="s">
        <v>2</v>
      </c>
      <c r="C80" s="74" t="s">
        <v>126</v>
      </c>
      <c r="D80" s="64"/>
      <c r="E80" s="64"/>
      <c r="F80" s="64"/>
      <c r="G80" s="64">
        <v>1</v>
      </c>
      <c r="H80" s="65"/>
      <c r="I80" s="65"/>
      <c r="J80" s="65"/>
      <c r="K80" s="65"/>
      <c r="L80" s="65"/>
      <c r="M80" s="65"/>
      <c r="N80" s="65"/>
      <c r="O80" s="65"/>
      <c r="P80" s="66">
        <f t="shared" si="1"/>
        <v>1</v>
      </c>
    </row>
    <row r="81" spans="1:16">
      <c r="A81" s="67">
        <v>79</v>
      </c>
      <c r="B81" s="3" t="s">
        <v>2</v>
      </c>
      <c r="C81" s="74" t="s">
        <v>127</v>
      </c>
      <c r="D81" s="64">
        <v>1</v>
      </c>
      <c r="E81" s="64"/>
      <c r="F81" s="64"/>
      <c r="G81" s="64">
        <v>1</v>
      </c>
      <c r="H81" s="65"/>
      <c r="I81" s="65"/>
      <c r="J81" s="65"/>
      <c r="K81" s="65"/>
      <c r="L81" s="65"/>
      <c r="M81" s="65"/>
      <c r="N81" s="65"/>
      <c r="O81" s="65"/>
      <c r="P81" s="66">
        <f t="shared" si="1"/>
        <v>2</v>
      </c>
    </row>
    <row r="82" spans="1:16">
      <c r="A82" s="3">
        <v>80</v>
      </c>
      <c r="B82" s="3" t="s">
        <v>2</v>
      </c>
      <c r="C82" s="74" t="s">
        <v>128</v>
      </c>
      <c r="D82" s="64"/>
      <c r="E82" s="64">
        <v>1</v>
      </c>
      <c r="F82" s="64"/>
      <c r="G82" s="64">
        <v>1</v>
      </c>
      <c r="H82" s="65"/>
      <c r="I82" s="65"/>
      <c r="J82" s="65"/>
      <c r="K82" s="65"/>
      <c r="L82" s="65"/>
      <c r="M82" s="65"/>
      <c r="N82" s="65"/>
      <c r="O82" s="65"/>
      <c r="P82" s="66">
        <f t="shared" si="1"/>
        <v>2</v>
      </c>
    </row>
    <row r="83" spans="1:16">
      <c r="A83" s="3">
        <v>81</v>
      </c>
      <c r="B83" s="3" t="s">
        <v>2</v>
      </c>
      <c r="C83" s="74" t="s">
        <v>129</v>
      </c>
      <c r="D83" s="64"/>
      <c r="E83" s="64">
        <v>1</v>
      </c>
      <c r="F83" s="64"/>
      <c r="G83" s="64"/>
      <c r="H83" s="65"/>
      <c r="I83" s="65"/>
      <c r="J83" s="65"/>
      <c r="K83" s="65"/>
      <c r="L83" s="65"/>
      <c r="M83" s="65"/>
      <c r="N83" s="65"/>
      <c r="O83" s="65"/>
      <c r="P83" s="66">
        <f t="shared" si="1"/>
        <v>1</v>
      </c>
    </row>
    <row r="84" spans="1:16">
      <c r="A84" s="3">
        <v>82</v>
      </c>
      <c r="B84" s="3" t="s">
        <v>2</v>
      </c>
      <c r="C84" s="74" t="s">
        <v>130</v>
      </c>
      <c r="D84" s="64">
        <v>1</v>
      </c>
      <c r="E84" s="64">
        <v>1</v>
      </c>
      <c r="F84" s="64"/>
      <c r="G84" s="64"/>
      <c r="H84" s="65"/>
      <c r="I84" s="65"/>
      <c r="J84" s="65"/>
      <c r="K84" s="65"/>
      <c r="L84" s="65"/>
      <c r="M84" s="65"/>
      <c r="N84" s="65"/>
      <c r="O84" s="65"/>
      <c r="P84" s="66">
        <f t="shared" si="1"/>
        <v>2</v>
      </c>
    </row>
    <row r="85" spans="1:16">
      <c r="A85" s="3">
        <v>83</v>
      </c>
      <c r="B85" s="3" t="s">
        <v>2</v>
      </c>
      <c r="C85" s="74" t="s">
        <v>131</v>
      </c>
      <c r="D85" s="64"/>
      <c r="E85" s="64">
        <v>1</v>
      </c>
      <c r="F85" s="64"/>
      <c r="G85" s="64"/>
      <c r="H85" s="65"/>
      <c r="I85" s="65"/>
      <c r="J85" s="65"/>
      <c r="K85" s="65"/>
      <c r="L85" s="65"/>
      <c r="M85" s="65"/>
      <c r="N85" s="65"/>
      <c r="O85" s="65"/>
      <c r="P85" s="66">
        <f t="shared" si="1"/>
        <v>1</v>
      </c>
    </row>
    <row r="86" spans="1:16">
      <c r="A86" s="3">
        <v>84</v>
      </c>
      <c r="B86" s="3" t="s">
        <v>2</v>
      </c>
      <c r="C86" s="74" t="s">
        <v>132</v>
      </c>
      <c r="D86" s="64"/>
      <c r="E86" s="64"/>
      <c r="F86" s="64">
        <v>1</v>
      </c>
      <c r="G86" s="64"/>
      <c r="H86" s="65"/>
      <c r="I86" s="65"/>
      <c r="J86" s="65"/>
      <c r="K86" s="65"/>
      <c r="L86" s="65"/>
      <c r="M86" s="65"/>
      <c r="N86" s="65"/>
      <c r="O86" s="65"/>
      <c r="P86" s="66">
        <f t="shared" si="1"/>
        <v>1</v>
      </c>
    </row>
    <row r="87" spans="1:16">
      <c r="A87" s="3">
        <v>85</v>
      </c>
      <c r="B87" s="3" t="s">
        <v>2</v>
      </c>
      <c r="C87" s="74" t="s">
        <v>133</v>
      </c>
      <c r="D87" s="64"/>
      <c r="E87" s="64"/>
      <c r="F87" s="64"/>
      <c r="G87" s="64">
        <v>1</v>
      </c>
      <c r="H87" s="65"/>
      <c r="I87" s="65"/>
      <c r="J87" s="65"/>
      <c r="K87" s="65"/>
      <c r="L87" s="65"/>
      <c r="M87" s="65"/>
      <c r="N87" s="65"/>
      <c r="O87" s="65"/>
      <c r="P87" s="66">
        <f t="shared" si="1"/>
        <v>1</v>
      </c>
    </row>
    <row r="88" spans="1:16">
      <c r="A88" s="3">
        <v>86</v>
      </c>
      <c r="B88" s="3" t="s">
        <v>2</v>
      </c>
      <c r="C88" s="74" t="s">
        <v>134</v>
      </c>
      <c r="D88" s="64">
        <v>1</v>
      </c>
      <c r="E88" s="64"/>
      <c r="F88" s="64"/>
      <c r="G88" s="64"/>
      <c r="H88" s="65"/>
      <c r="I88" s="65"/>
      <c r="J88" s="65"/>
      <c r="K88" s="65"/>
      <c r="L88" s="65"/>
      <c r="M88" s="65"/>
      <c r="N88" s="65"/>
      <c r="O88" s="65"/>
      <c r="P88" s="66">
        <f t="shared" si="1"/>
        <v>1</v>
      </c>
    </row>
    <row r="89" spans="1:16">
      <c r="A89" s="3">
        <v>87</v>
      </c>
      <c r="B89" s="3" t="s">
        <v>2</v>
      </c>
      <c r="C89" s="74" t="s">
        <v>135</v>
      </c>
      <c r="D89" s="64">
        <v>1</v>
      </c>
      <c r="E89" s="64"/>
      <c r="F89" s="64"/>
      <c r="G89" s="64"/>
      <c r="H89" s="65"/>
      <c r="I89" s="65"/>
      <c r="J89" s="65"/>
      <c r="K89" s="65"/>
      <c r="L89" s="65"/>
      <c r="M89" s="65"/>
      <c r="N89" s="65"/>
      <c r="O89" s="65"/>
      <c r="P89" s="66">
        <f t="shared" si="1"/>
        <v>1</v>
      </c>
    </row>
    <row r="90" spans="1:16">
      <c r="A90" s="3">
        <v>88</v>
      </c>
      <c r="B90" s="3" t="s">
        <v>2</v>
      </c>
      <c r="C90" s="74" t="s">
        <v>136</v>
      </c>
      <c r="D90" s="64"/>
      <c r="E90" s="64">
        <v>1</v>
      </c>
      <c r="F90" s="64"/>
      <c r="G90" s="64"/>
      <c r="H90" s="65"/>
      <c r="I90" s="65"/>
      <c r="J90" s="65"/>
      <c r="K90" s="65"/>
      <c r="L90" s="65"/>
      <c r="M90" s="65"/>
      <c r="N90" s="65"/>
      <c r="O90" s="65"/>
      <c r="P90" s="66">
        <f t="shared" si="1"/>
        <v>1</v>
      </c>
    </row>
    <row r="91" spans="1:16">
      <c r="A91" s="3">
        <v>89</v>
      </c>
      <c r="B91" s="3" t="s">
        <v>2</v>
      </c>
      <c r="C91" s="74" t="s">
        <v>137</v>
      </c>
      <c r="D91" s="64"/>
      <c r="E91" s="64">
        <v>1</v>
      </c>
      <c r="F91" s="64"/>
      <c r="G91" s="64"/>
      <c r="H91" s="65"/>
      <c r="I91" s="65"/>
      <c r="J91" s="65"/>
      <c r="K91" s="65"/>
      <c r="L91" s="65"/>
      <c r="M91" s="65"/>
      <c r="N91" s="65"/>
      <c r="O91" s="65"/>
      <c r="P91" s="66">
        <f t="shared" si="1"/>
        <v>1</v>
      </c>
    </row>
    <row r="92" spans="1:16">
      <c r="A92" s="3">
        <v>90</v>
      </c>
      <c r="B92" s="3" t="s">
        <v>2</v>
      </c>
      <c r="C92" s="74" t="s">
        <v>138</v>
      </c>
      <c r="D92" s="64"/>
      <c r="E92" s="64"/>
      <c r="F92" s="64">
        <v>1</v>
      </c>
      <c r="G92" s="64"/>
      <c r="H92" s="65"/>
      <c r="I92" s="65"/>
      <c r="J92" s="65"/>
      <c r="K92" s="65"/>
      <c r="L92" s="65"/>
      <c r="M92" s="65"/>
      <c r="N92" s="65"/>
      <c r="O92" s="65"/>
      <c r="P92" s="66">
        <f t="shared" si="1"/>
        <v>1</v>
      </c>
    </row>
    <row r="93" spans="1:16">
      <c r="A93" s="3">
        <v>91</v>
      </c>
      <c r="B93" s="3" t="s">
        <v>2</v>
      </c>
      <c r="C93" s="74" t="s">
        <v>139</v>
      </c>
      <c r="D93" s="64"/>
      <c r="E93" s="64"/>
      <c r="F93" s="64"/>
      <c r="G93" s="64">
        <v>1</v>
      </c>
      <c r="H93" s="65"/>
      <c r="I93" s="65"/>
      <c r="J93" s="65"/>
      <c r="K93" s="65"/>
      <c r="L93" s="65"/>
      <c r="M93" s="65"/>
      <c r="N93" s="65"/>
      <c r="O93" s="65"/>
      <c r="P93" s="66">
        <f t="shared" si="1"/>
        <v>1</v>
      </c>
    </row>
    <row r="94" spans="1:16">
      <c r="A94" s="3">
        <v>92</v>
      </c>
      <c r="B94" s="3" t="s">
        <v>2</v>
      </c>
      <c r="C94" s="74" t="s">
        <v>140</v>
      </c>
      <c r="D94" s="64"/>
      <c r="E94" s="64"/>
      <c r="F94" s="64">
        <v>1</v>
      </c>
      <c r="G94" s="64"/>
      <c r="H94" s="65"/>
      <c r="I94" s="65"/>
      <c r="J94" s="65"/>
      <c r="K94" s="65"/>
      <c r="L94" s="65"/>
      <c r="M94" s="65"/>
      <c r="N94" s="65"/>
      <c r="O94" s="65"/>
      <c r="P94" s="66">
        <f t="shared" si="1"/>
        <v>1</v>
      </c>
    </row>
    <row r="95" spans="1:16">
      <c r="A95" s="3">
        <v>93</v>
      </c>
      <c r="B95" s="3" t="s">
        <v>2</v>
      </c>
      <c r="C95" s="74" t="s">
        <v>141</v>
      </c>
      <c r="D95" s="64"/>
      <c r="E95" s="64"/>
      <c r="F95" s="64">
        <v>1</v>
      </c>
      <c r="G95" s="64"/>
      <c r="H95" s="65"/>
      <c r="I95" s="65"/>
      <c r="J95" s="65"/>
      <c r="K95" s="65"/>
      <c r="L95" s="65"/>
      <c r="M95" s="65"/>
      <c r="N95" s="65"/>
      <c r="O95" s="65"/>
      <c r="P95" s="66">
        <f t="shared" si="1"/>
        <v>1</v>
      </c>
    </row>
    <row r="96" spans="1:16">
      <c r="A96" s="3">
        <v>94</v>
      </c>
      <c r="B96" s="3" t="s">
        <v>2</v>
      </c>
      <c r="C96" s="74" t="s">
        <v>142</v>
      </c>
      <c r="D96" s="64"/>
      <c r="E96" s="64"/>
      <c r="F96" s="64">
        <v>1</v>
      </c>
      <c r="G96" s="64"/>
      <c r="H96" s="65"/>
      <c r="I96" s="65"/>
      <c r="J96" s="65"/>
      <c r="K96" s="65"/>
      <c r="L96" s="65"/>
      <c r="M96" s="65"/>
      <c r="N96" s="65"/>
      <c r="O96" s="65"/>
      <c r="P96" s="66">
        <f t="shared" si="1"/>
        <v>1</v>
      </c>
    </row>
    <row r="97" spans="1:16">
      <c r="A97" s="3">
        <v>95</v>
      </c>
      <c r="B97" s="3" t="s">
        <v>2</v>
      </c>
      <c r="C97" s="74" t="s">
        <v>143</v>
      </c>
      <c r="D97" s="64"/>
      <c r="E97" s="64"/>
      <c r="F97" s="64">
        <v>1</v>
      </c>
      <c r="G97" s="64"/>
      <c r="H97" s="65"/>
      <c r="I97" s="65"/>
      <c r="J97" s="65"/>
      <c r="K97" s="65"/>
      <c r="L97" s="65"/>
      <c r="M97" s="65"/>
      <c r="N97" s="65"/>
      <c r="O97" s="65"/>
      <c r="P97" s="66">
        <f t="shared" si="1"/>
        <v>1</v>
      </c>
    </row>
    <row r="98" spans="1:16">
      <c r="D98" s="59"/>
      <c r="E98" s="59"/>
      <c r="F98" s="59"/>
      <c r="G98" s="59"/>
      <c r="H98" s="59"/>
      <c r="I98" s="59"/>
      <c r="J98" s="59"/>
      <c r="K98" s="59"/>
      <c r="L98" s="59"/>
      <c r="M98" s="59"/>
      <c r="N98" s="59"/>
      <c r="O98" s="59"/>
    </row>
    <row r="99" spans="1:16">
      <c r="D99" s="59"/>
      <c r="E99" s="59"/>
      <c r="F99" s="59"/>
      <c r="G99" s="59"/>
      <c r="H99" s="59"/>
      <c r="I99" s="59"/>
      <c r="J99" s="59"/>
      <c r="K99" s="59"/>
      <c r="L99" s="59"/>
      <c r="M99" s="59"/>
      <c r="N99" s="59"/>
      <c r="O99" s="59"/>
    </row>
    <row r="100" spans="1:16">
      <c r="D100" s="59"/>
      <c r="E100" s="59"/>
      <c r="F100" s="59"/>
      <c r="G100" s="59"/>
      <c r="H100" s="59"/>
      <c r="I100" s="59"/>
      <c r="J100" s="59"/>
      <c r="K100" s="59"/>
      <c r="L100" s="59"/>
      <c r="M100" s="59"/>
      <c r="N100" s="59"/>
      <c r="O100" s="59"/>
    </row>
    <row r="101" spans="1:16">
      <c r="D101" s="59"/>
      <c r="E101" s="59"/>
      <c r="F101" s="59"/>
      <c r="G101" s="59"/>
      <c r="H101" s="59"/>
      <c r="I101" s="59"/>
      <c r="J101" s="59"/>
      <c r="K101" s="59"/>
      <c r="L101" s="59"/>
      <c r="M101" s="59"/>
      <c r="N101" s="59"/>
      <c r="O101" s="59"/>
    </row>
    <row r="102" spans="1:16">
      <c r="D102" s="59"/>
      <c r="E102" s="59"/>
      <c r="F102" s="59"/>
      <c r="G102" s="59"/>
      <c r="H102" s="59"/>
      <c r="I102" s="59"/>
      <c r="J102" s="59"/>
      <c r="K102" s="59"/>
      <c r="L102" s="59"/>
      <c r="M102" s="59"/>
      <c r="N102" s="59"/>
      <c r="O102" s="59"/>
    </row>
    <row r="103" spans="1:16">
      <c r="D103" s="59"/>
      <c r="E103" s="59"/>
      <c r="F103" s="59"/>
      <c r="G103" s="59"/>
      <c r="H103" s="59"/>
      <c r="I103" s="59"/>
      <c r="J103" s="59"/>
      <c r="K103" s="59"/>
      <c r="L103" s="59"/>
      <c r="M103" s="59"/>
      <c r="N103" s="59"/>
      <c r="O103" s="59"/>
    </row>
    <row r="104" spans="1:16">
      <c r="D104" s="59"/>
      <c r="E104" s="59"/>
      <c r="F104" s="59"/>
      <c r="G104" s="59"/>
      <c r="H104" s="59"/>
      <c r="I104" s="59"/>
      <c r="J104" s="59"/>
      <c r="K104" s="59"/>
      <c r="L104" s="59"/>
      <c r="M104" s="59"/>
      <c r="N104" s="59"/>
      <c r="O104" s="59"/>
    </row>
    <row r="105" spans="1:16">
      <c r="D105" s="59"/>
      <c r="E105" s="59"/>
      <c r="F105" s="59"/>
      <c r="G105" s="59"/>
      <c r="H105" s="59"/>
      <c r="I105" s="59"/>
      <c r="J105" s="59"/>
      <c r="K105" s="59"/>
      <c r="L105" s="59"/>
      <c r="M105" s="59"/>
      <c r="N105" s="59"/>
      <c r="O105" s="59"/>
    </row>
    <row r="106" spans="1:16">
      <c r="D106" s="59"/>
      <c r="E106" s="59"/>
      <c r="F106" s="59"/>
      <c r="G106" s="59"/>
      <c r="H106" s="59"/>
      <c r="I106" s="59"/>
      <c r="J106" s="59"/>
      <c r="K106" s="59"/>
      <c r="L106" s="59"/>
      <c r="M106" s="59"/>
      <c r="N106" s="59"/>
      <c r="O106" s="59"/>
    </row>
    <row r="107" spans="1:16">
      <c r="D107" s="59"/>
      <c r="E107" s="59"/>
      <c r="F107" s="59"/>
      <c r="G107" s="59"/>
      <c r="H107" s="59"/>
      <c r="I107" s="59"/>
      <c r="J107" s="59"/>
      <c r="K107" s="59"/>
      <c r="L107" s="59"/>
      <c r="M107" s="59"/>
      <c r="N107" s="59"/>
      <c r="O107" s="59"/>
    </row>
    <row r="108" spans="1:16">
      <c r="D108" s="59"/>
      <c r="E108" s="59"/>
      <c r="F108" s="59"/>
      <c r="G108" s="59"/>
      <c r="H108" s="59"/>
      <c r="I108" s="59"/>
      <c r="J108" s="59"/>
      <c r="K108" s="59"/>
      <c r="L108" s="59"/>
      <c r="M108" s="59"/>
      <c r="N108" s="59"/>
      <c r="O108" s="59"/>
    </row>
    <row r="109" spans="1:16">
      <c r="D109" s="59"/>
      <c r="E109" s="59"/>
      <c r="F109" s="59"/>
      <c r="G109" s="59"/>
      <c r="H109" s="59"/>
      <c r="I109" s="59"/>
      <c r="J109" s="59"/>
      <c r="K109" s="59"/>
      <c r="L109" s="59"/>
      <c r="M109" s="59"/>
      <c r="N109" s="59"/>
      <c r="O109" s="59"/>
    </row>
    <row r="110" spans="1:16">
      <c r="D110" s="59"/>
      <c r="E110" s="59"/>
      <c r="F110" s="59"/>
      <c r="G110" s="59"/>
      <c r="H110" s="59"/>
      <c r="I110" s="59"/>
      <c r="J110" s="59"/>
      <c r="K110" s="59"/>
      <c r="L110" s="59"/>
      <c r="M110" s="59"/>
      <c r="N110" s="59"/>
      <c r="O110" s="59"/>
    </row>
    <row r="111" spans="1:16">
      <c r="D111" s="59"/>
      <c r="E111" s="59"/>
      <c r="F111" s="59"/>
      <c r="G111" s="59"/>
      <c r="H111" s="59"/>
      <c r="I111" s="59"/>
      <c r="J111" s="59"/>
      <c r="K111" s="59"/>
      <c r="L111" s="59"/>
      <c r="M111" s="59"/>
      <c r="N111" s="59"/>
      <c r="O111" s="59"/>
    </row>
    <row r="112" spans="1:16">
      <c r="D112" s="59"/>
      <c r="E112" s="59"/>
      <c r="F112" s="59"/>
      <c r="G112" s="59"/>
      <c r="H112" s="59"/>
      <c r="I112" s="59"/>
      <c r="J112" s="59"/>
      <c r="K112" s="59"/>
      <c r="L112" s="59"/>
      <c r="M112" s="59"/>
      <c r="N112" s="59"/>
      <c r="O112" s="59"/>
    </row>
    <row r="113" s="59" customFormat="1"/>
    <row r="114" s="59" customFormat="1"/>
    <row r="115" s="59" customFormat="1"/>
    <row r="116" s="59" customFormat="1"/>
    <row r="117" s="59" customFormat="1"/>
    <row r="118" s="59" customFormat="1"/>
    <row r="119" s="59" customFormat="1"/>
    <row r="120" s="59" customFormat="1"/>
    <row r="121" s="59" customFormat="1"/>
    <row r="122" s="59" customFormat="1"/>
    <row r="123" s="59" customFormat="1"/>
    <row r="124" s="59" customFormat="1"/>
    <row r="125" s="59" customFormat="1"/>
    <row r="126" s="59" customFormat="1"/>
    <row r="127" s="59" customFormat="1"/>
    <row r="128" s="59" customFormat="1"/>
    <row r="129" s="59" customFormat="1"/>
    <row r="130" s="59" customFormat="1"/>
    <row r="131" s="59" customFormat="1"/>
    <row r="132" s="59" customFormat="1"/>
    <row r="133" s="59" customFormat="1"/>
    <row r="134" s="59" customFormat="1"/>
    <row r="135" s="59" customFormat="1"/>
    <row r="136" s="59" customFormat="1"/>
    <row r="137" s="59" customFormat="1"/>
    <row r="138" s="59" customFormat="1"/>
    <row r="139" s="59" customFormat="1"/>
    <row r="140" s="59" customFormat="1"/>
    <row r="141" s="59" customFormat="1"/>
    <row r="142" s="59" customFormat="1"/>
    <row r="143" s="59" customFormat="1"/>
    <row r="144" s="59" customFormat="1"/>
    <row r="145" s="59" customFormat="1"/>
    <row r="146" s="59" customFormat="1"/>
    <row r="147" s="59" customFormat="1"/>
    <row r="148" s="59" customFormat="1"/>
    <row r="149" s="59" customFormat="1"/>
    <row r="150" s="59" customFormat="1"/>
    <row r="151" s="59" customFormat="1"/>
    <row r="152" s="59" customFormat="1"/>
    <row r="153" s="59" customFormat="1"/>
    <row r="154" s="59" customFormat="1"/>
    <row r="155" s="59" customFormat="1"/>
    <row r="156" s="59" customFormat="1"/>
    <row r="157" s="59" customFormat="1"/>
    <row r="158" s="59" customFormat="1"/>
    <row r="159" s="59" customFormat="1"/>
    <row r="160" s="59" customFormat="1"/>
    <row r="161" s="59" customFormat="1"/>
    <row r="162" s="59" customFormat="1"/>
    <row r="163" s="59" customFormat="1"/>
    <row r="164" s="59" customFormat="1"/>
    <row r="165" s="59" customFormat="1"/>
    <row r="166" s="59" customFormat="1"/>
    <row r="167" s="59" customFormat="1"/>
    <row r="168" s="59" customFormat="1"/>
    <row r="169" s="59" customFormat="1"/>
    <row r="170" s="59" customFormat="1"/>
    <row r="171" s="59" customFormat="1"/>
    <row r="172" s="59" customFormat="1"/>
    <row r="173" s="59" customFormat="1"/>
    <row r="174" s="59" customFormat="1"/>
    <row r="175" s="59" customFormat="1"/>
    <row r="176" s="59" customFormat="1"/>
    <row r="177" s="59" customFormat="1"/>
    <row r="178" s="59" customFormat="1"/>
    <row r="179" s="59" customFormat="1"/>
    <row r="180" s="59" customFormat="1"/>
    <row r="181" s="59" customFormat="1"/>
    <row r="182" s="59" customFormat="1"/>
    <row r="183" s="59" customFormat="1"/>
    <row r="184" s="59" customFormat="1"/>
    <row r="185" s="59" customFormat="1"/>
    <row r="186" s="59" customFormat="1"/>
    <row r="187" s="59" customFormat="1"/>
    <row r="188" s="59" customFormat="1"/>
    <row r="189" s="59" customFormat="1"/>
    <row r="190" s="59" customFormat="1"/>
    <row r="191" s="59" customFormat="1"/>
    <row r="192" s="59" customFormat="1"/>
    <row r="193" s="59" customFormat="1"/>
    <row r="194" s="59" customFormat="1"/>
    <row r="195" s="59" customFormat="1"/>
    <row r="196" s="59" customFormat="1"/>
    <row r="197" s="59" customFormat="1"/>
    <row r="198" s="59" customFormat="1"/>
    <row r="199" s="59" customFormat="1"/>
    <row r="200" s="59" customFormat="1"/>
    <row r="201" s="59" customFormat="1"/>
    <row r="202" s="59" customFormat="1"/>
    <row r="203" s="59" customFormat="1"/>
    <row r="204" s="59" customFormat="1"/>
    <row r="205" s="59" customFormat="1"/>
    <row r="206" s="59" customFormat="1"/>
    <row r="207" s="59" customFormat="1"/>
    <row r="208" s="59" customFormat="1"/>
    <row r="209" s="59" customFormat="1"/>
    <row r="210" s="59" customFormat="1"/>
    <row r="211" s="59" customFormat="1"/>
    <row r="212" s="59" customFormat="1"/>
    <row r="213" s="59" customFormat="1"/>
    <row r="214" s="59" customFormat="1"/>
    <row r="215" s="59" customFormat="1"/>
    <row r="216" s="59" customFormat="1"/>
    <row r="217" s="59" customFormat="1"/>
    <row r="218" s="59" customFormat="1"/>
    <row r="219" s="59" customFormat="1"/>
    <row r="220" s="59" customFormat="1"/>
    <row r="221" s="59" customFormat="1"/>
    <row r="222" s="59" customFormat="1"/>
    <row r="223" s="59" customFormat="1"/>
    <row r="224" s="59" customFormat="1"/>
    <row r="225" s="59" customFormat="1"/>
    <row r="226" s="59" customFormat="1"/>
    <row r="227" s="59" customFormat="1"/>
    <row r="228" s="59" customFormat="1"/>
    <row r="229" s="59" customFormat="1"/>
    <row r="230" s="59" customFormat="1"/>
    <row r="231" s="59" customFormat="1"/>
    <row r="232" s="59" customFormat="1"/>
    <row r="233" s="59" customFormat="1"/>
    <row r="234" s="59" customFormat="1"/>
    <row r="235" s="59" customFormat="1"/>
    <row r="236" s="59" customFormat="1"/>
    <row r="237" s="59" customFormat="1"/>
    <row r="238" s="59" customFormat="1"/>
    <row r="239" s="59" customFormat="1"/>
    <row r="240" s="59" customFormat="1"/>
    <row r="241" s="59" customFormat="1"/>
    <row r="242" s="59" customFormat="1"/>
    <row r="243" s="59" customFormat="1"/>
    <row r="244" s="59" customFormat="1"/>
    <row r="245" s="59" customFormat="1"/>
    <row r="246" s="59" customFormat="1"/>
    <row r="247" s="59" customFormat="1"/>
    <row r="248" s="59" customFormat="1"/>
    <row r="249" s="59" customFormat="1"/>
    <row r="250" s="59" customFormat="1"/>
    <row r="251" s="59" customFormat="1"/>
    <row r="252" s="59" customFormat="1"/>
    <row r="253" s="59" customFormat="1"/>
    <row r="254" s="59" customFormat="1"/>
    <row r="255" s="59" customFormat="1"/>
    <row r="256" s="59" customFormat="1"/>
    <row r="257" s="59" customFormat="1"/>
    <row r="258" s="59" customFormat="1"/>
    <row r="259" s="59" customFormat="1"/>
    <row r="260" s="59" customFormat="1"/>
    <row r="261" s="59" customFormat="1"/>
    <row r="262" s="59" customFormat="1"/>
    <row r="263" s="59" customFormat="1"/>
    <row r="264" s="59" customFormat="1"/>
    <row r="265" s="59" customFormat="1"/>
    <row r="266" s="59" customFormat="1"/>
    <row r="267" s="59" customFormat="1"/>
    <row r="268" s="59" customFormat="1"/>
    <row r="269" s="59" customFormat="1"/>
    <row r="270" s="59" customFormat="1"/>
    <row r="271" s="59" customFormat="1"/>
    <row r="272" s="59" customFormat="1"/>
    <row r="273" s="59" customFormat="1"/>
    <row r="274" s="59" customFormat="1"/>
    <row r="275" s="59" customFormat="1"/>
    <row r="276" s="59" customFormat="1"/>
    <row r="277" s="59" customFormat="1"/>
    <row r="278" s="59" customFormat="1"/>
    <row r="279" s="59" customFormat="1"/>
    <row r="280" s="59" customFormat="1"/>
    <row r="281" s="59" customFormat="1"/>
    <row r="282" s="59" customFormat="1"/>
    <row r="283" s="59" customFormat="1"/>
    <row r="284" s="59" customFormat="1"/>
    <row r="285" s="59" customFormat="1"/>
    <row r="286" s="59" customFormat="1"/>
    <row r="287" s="59" customFormat="1"/>
    <row r="288" s="59" customFormat="1"/>
    <row r="289" s="59" customFormat="1"/>
    <row r="290" s="59" customFormat="1"/>
    <row r="291" s="59" customFormat="1"/>
    <row r="292" s="59" customFormat="1"/>
    <row r="293" s="59" customFormat="1"/>
    <row r="294" s="59" customFormat="1"/>
    <row r="295" s="59" customFormat="1"/>
    <row r="296" s="59" customFormat="1"/>
    <row r="297" s="59" customFormat="1"/>
    <row r="298" s="59" customFormat="1"/>
    <row r="299" s="59" customFormat="1"/>
    <row r="300" s="59" customFormat="1"/>
    <row r="301" s="59" customFormat="1"/>
    <row r="302" s="59" customFormat="1"/>
    <row r="303" s="59" customFormat="1"/>
    <row r="304" s="59" customFormat="1"/>
    <row r="305" s="59" customFormat="1"/>
    <row r="306" s="59" customFormat="1"/>
    <row r="307" s="59" customFormat="1"/>
    <row r="308" s="59" customFormat="1"/>
    <row r="309" s="59" customFormat="1"/>
    <row r="310" s="59" customFormat="1"/>
    <row r="311" s="59" customFormat="1"/>
    <row r="312" s="59" customFormat="1"/>
    <row r="313" s="59" customFormat="1"/>
    <row r="314" s="59" customFormat="1"/>
    <row r="315" s="59" customFormat="1"/>
    <row r="316" s="59" customFormat="1"/>
    <row r="317" s="59" customFormat="1"/>
    <row r="318" s="59" customFormat="1"/>
    <row r="319" s="59" customFormat="1"/>
    <row r="320" s="59" customFormat="1"/>
    <row r="321" s="59" customFormat="1"/>
    <row r="322" s="59" customFormat="1"/>
    <row r="323" s="59" customFormat="1"/>
    <row r="324" s="59" customFormat="1"/>
    <row r="325" s="59" customFormat="1"/>
    <row r="326" s="59" customFormat="1"/>
    <row r="327" s="59" customFormat="1"/>
    <row r="328" s="59" customFormat="1"/>
    <row r="329" s="59" customFormat="1"/>
    <row r="330" s="59" customFormat="1"/>
    <row r="331" s="59" customFormat="1"/>
    <row r="332" s="59" customFormat="1"/>
    <row r="333" s="59" customFormat="1"/>
    <row r="334" s="59" customFormat="1"/>
    <row r="335" s="59" customFormat="1"/>
    <row r="336" s="59" customFormat="1"/>
    <row r="337" s="59" customFormat="1"/>
    <row r="338" s="59" customFormat="1"/>
    <row r="339" s="59" customFormat="1"/>
    <row r="340" s="59" customFormat="1"/>
    <row r="341" s="59" customFormat="1"/>
    <row r="342" s="59" customFormat="1"/>
    <row r="343" s="59" customFormat="1"/>
    <row r="344" s="59" customFormat="1"/>
    <row r="345" s="59" customFormat="1"/>
    <row r="346" s="59" customFormat="1"/>
    <row r="347" s="59" customFormat="1"/>
    <row r="348" s="59" customFormat="1"/>
    <row r="349" s="59" customFormat="1"/>
    <row r="350" s="59" customFormat="1"/>
    <row r="351" s="59" customFormat="1"/>
    <row r="352" s="59" customFormat="1"/>
    <row r="353" s="59" customFormat="1"/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D80007-7779-4BA8-8D7D-4ACB8AA8AE76}">
  <dimension ref="A1:P353"/>
  <sheetViews>
    <sheetView zoomScale="70" zoomScaleNormal="70" workbookViewId="0">
      <selection activeCell="C3" sqref="C3:C97"/>
    </sheetView>
  </sheetViews>
  <sheetFormatPr defaultRowHeight="16"/>
  <cols>
    <col min="1" max="1" width="7.6328125" style="43" customWidth="1"/>
    <col min="2" max="2" width="9.36328125" style="43" customWidth="1"/>
    <col min="3" max="3" width="15.1796875" style="43" customWidth="1"/>
    <col min="4" max="15" width="8.7265625" style="43"/>
    <col min="16" max="16" width="9.1796875" style="59" bestFit="1" customWidth="1"/>
    <col min="17" max="16384" width="8.7265625" style="43"/>
  </cols>
  <sheetData>
    <row r="1" spans="1:16">
      <c r="A1" s="42" t="s">
        <v>302</v>
      </c>
    </row>
    <row r="2" spans="1:16" ht="24.5" customHeight="1">
      <c r="A2" s="55" t="s">
        <v>45</v>
      </c>
      <c r="B2" s="60" t="s">
        <v>5</v>
      </c>
      <c r="C2" s="55" t="s">
        <v>46</v>
      </c>
      <c r="D2" s="61" t="s">
        <v>42</v>
      </c>
      <c r="E2" s="62" t="s">
        <v>43</v>
      </c>
      <c r="F2" s="62" t="s">
        <v>47</v>
      </c>
      <c r="G2" s="62" t="s">
        <v>48</v>
      </c>
      <c r="H2" s="62" t="s">
        <v>144</v>
      </c>
      <c r="I2" s="62" t="s">
        <v>145</v>
      </c>
      <c r="J2" s="62" t="s">
        <v>146</v>
      </c>
      <c r="K2" s="62" t="s">
        <v>147</v>
      </c>
      <c r="L2" s="62" t="s">
        <v>148</v>
      </c>
      <c r="M2" s="62" t="s">
        <v>149</v>
      </c>
      <c r="N2" s="62" t="s">
        <v>150</v>
      </c>
      <c r="O2" s="62" t="s">
        <v>151</v>
      </c>
      <c r="P2" s="63" t="s">
        <v>0</v>
      </c>
    </row>
    <row r="3" spans="1:16" ht="19" customHeight="1">
      <c r="A3" s="3">
        <v>1</v>
      </c>
      <c r="B3" s="3" t="s">
        <v>1</v>
      </c>
      <c r="C3" s="3"/>
      <c r="D3" s="64"/>
      <c r="E3" s="64"/>
      <c r="F3" s="64"/>
      <c r="G3" s="64"/>
      <c r="H3" s="65"/>
      <c r="I3" s="65"/>
      <c r="J3" s="65"/>
      <c r="K3" s="65"/>
      <c r="L3" s="65"/>
      <c r="M3" s="65"/>
      <c r="N3" s="65"/>
      <c r="O3" s="65"/>
      <c r="P3" s="66">
        <f>SUM(D3:O3)</f>
        <v>0</v>
      </c>
    </row>
    <row r="4" spans="1:16">
      <c r="A4" s="3">
        <v>2</v>
      </c>
      <c r="B4" s="3" t="s">
        <v>1</v>
      </c>
      <c r="C4" s="3"/>
      <c r="D4" s="64"/>
      <c r="E4" s="64"/>
      <c r="F4" s="64"/>
      <c r="G4" s="64"/>
      <c r="H4" s="65"/>
      <c r="I4" s="65"/>
      <c r="J4" s="65"/>
      <c r="K4" s="65"/>
      <c r="L4" s="65"/>
      <c r="M4" s="65"/>
      <c r="N4" s="65"/>
      <c r="O4" s="65"/>
      <c r="P4" s="66">
        <f t="shared" ref="P4:P67" si="0">SUM(D4:O4)</f>
        <v>0</v>
      </c>
    </row>
    <row r="5" spans="1:16">
      <c r="A5" s="3">
        <v>3</v>
      </c>
      <c r="B5" s="3" t="s">
        <v>1</v>
      </c>
      <c r="C5" s="3"/>
      <c r="D5" s="64"/>
      <c r="E5" s="64"/>
      <c r="F5" s="64"/>
      <c r="G5" s="64"/>
      <c r="H5" s="65"/>
      <c r="I5" s="65"/>
      <c r="J5" s="65"/>
      <c r="K5" s="65"/>
      <c r="L5" s="65"/>
      <c r="M5" s="65"/>
      <c r="N5" s="65"/>
      <c r="O5" s="65"/>
      <c r="P5" s="66">
        <f t="shared" si="0"/>
        <v>0</v>
      </c>
    </row>
    <row r="6" spans="1:16">
      <c r="A6" s="3">
        <v>4</v>
      </c>
      <c r="B6" s="3" t="s">
        <v>1</v>
      </c>
      <c r="C6" s="3"/>
      <c r="D6" s="64"/>
      <c r="E6" s="64"/>
      <c r="F6" s="64"/>
      <c r="G6" s="64"/>
      <c r="H6" s="65"/>
      <c r="I6" s="65"/>
      <c r="J6" s="65"/>
      <c r="K6" s="65"/>
      <c r="L6" s="65"/>
      <c r="M6" s="65"/>
      <c r="N6" s="65"/>
      <c r="O6" s="65"/>
      <c r="P6" s="66">
        <f t="shared" si="0"/>
        <v>0</v>
      </c>
    </row>
    <row r="7" spans="1:16">
      <c r="A7" s="3">
        <v>5</v>
      </c>
      <c r="B7" s="3" t="s">
        <v>1</v>
      </c>
      <c r="C7" s="3"/>
      <c r="D7" s="64"/>
      <c r="E7" s="64"/>
      <c r="F7" s="64"/>
      <c r="G7" s="64"/>
      <c r="H7" s="65"/>
      <c r="I7" s="65"/>
      <c r="J7" s="65"/>
      <c r="K7" s="65"/>
      <c r="L7" s="65"/>
      <c r="M7" s="65"/>
      <c r="N7" s="65"/>
      <c r="O7" s="65"/>
      <c r="P7" s="66">
        <f t="shared" si="0"/>
        <v>0</v>
      </c>
    </row>
    <row r="8" spans="1:16">
      <c r="A8" s="3">
        <v>6</v>
      </c>
      <c r="B8" s="3" t="s">
        <v>1</v>
      </c>
      <c r="C8" s="3"/>
      <c r="D8" s="64"/>
      <c r="E8" s="64"/>
      <c r="F8" s="64"/>
      <c r="G8" s="64"/>
      <c r="H8" s="65"/>
      <c r="I8" s="65"/>
      <c r="J8" s="65"/>
      <c r="K8" s="65"/>
      <c r="L8" s="65"/>
      <c r="M8" s="65"/>
      <c r="N8" s="65"/>
      <c r="O8" s="65"/>
      <c r="P8" s="66">
        <f t="shared" si="0"/>
        <v>0</v>
      </c>
    </row>
    <row r="9" spans="1:16">
      <c r="A9" s="3">
        <v>7</v>
      </c>
      <c r="B9" s="3" t="s">
        <v>1</v>
      </c>
      <c r="C9" s="3"/>
      <c r="D9" s="64"/>
      <c r="E9" s="64"/>
      <c r="F9" s="64"/>
      <c r="G9" s="64"/>
      <c r="H9" s="65"/>
      <c r="I9" s="65"/>
      <c r="J9" s="65"/>
      <c r="K9" s="65"/>
      <c r="L9" s="65"/>
      <c r="M9" s="65"/>
      <c r="N9" s="65"/>
      <c r="O9" s="65"/>
      <c r="P9" s="66">
        <f t="shared" si="0"/>
        <v>0</v>
      </c>
    </row>
    <row r="10" spans="1:16">
      <c r="A10" s="3">
        <v>8</v>
      </c>
      <c r="B10" s="3" t="s">
        <v>1</v>
      </c>
      <c r="C10" s="3"/>
      <c r="D10" s="64"/>
      <c r="E10" s="64"/>
      <c r="F10" s="64"/>
      <c r="G10" s="64"/>
      <c r="H10" s="65"/>
      <c r="I10" s="65"/>
      <c r="J10" s="65"/>
      <c r="K10" s="65"/>
      <c r="L10" s="65"/>
      <c r="M10" s="65"/>
      <c r="N10" s="65"/>
      <c r="O10" s="65"/>
      <c r="P10" s="66">
        <f t="shared" si="0"/>
        <v>0</v>
      </c>
    </row>
    <row r="11" spans="1:16">
      <c r="A11" s="3">
        <v>9</v>
      </c>
      <c r="B11" s="3" t="s">
        <v>1</v>
      </c>
      <c r="C11" s="3"/>
      <c r="D11" s="64"/>
      <c r="E11" s="64"/>
      <c r="F11" s="64"/>
      <c r="G11" s="64"/>
      <c r="H11" s="65"/>
      <c r="I11" s="65"/>
      <c r="J11" s="65"/>
      <c r="K11" s="65"/>
      <c r="L11" s="65"/>
      <c r="M11" s="65"/>
      <c r="N11" s="65"/>
      <c r="O11" s="65"/>
      <c r="P11" s="66">
        <f t="shared" si="0"/>
        <v>0</v>
      </c>
    </row>
    <row r="12" spans="1:16">
      <c r="A12" s="3">
        <v>10</v>
      </c>
      <c r="B12" s="3" t="s">
        <v>1</v>
      </c>
      <c r="C12" s="3"/>
      <c r="D12" s="64"/>
      <c r="E12" s="64"/>
      <c r="F12" s="64"/>
      <c r="G12" s="64"/>
      <c r="H12" s="65"/>
      <c r="I12" s="65"/>
      <c r="J12" s="65"/>
      <c r="K12" s="65"/>
      <c r="L12" s="65"/>
      <c r="M12" s="65"/>
      <c r="N12" s="65"/>
      <c r="O12" s="65"/>
      <c r="P12" s="66">
        <f t="shared" si="0"/>
        <v>0</v>
      </c>
    </row>
    <row r="13" spans="1:16">
      <c r="A13" s="3">
        <v>11</v>
      </c>
      <c r="B13" s="3" t="s">
        <v>1</v>
      </c>
      <c r="C13" s="3"/>
      <c r="D13" s="64"/>
      <c r="E13" s="64"/>
      <c r="F13" s="64"/>
      <c r="G13" s="64"/>
      <c r="H13" s="65"/>
      <c r="I13" s="65"/>
      <c r="J13" s="65"/>
      <c r="K13" s="65"/>
      <c r="L13" s="65"/>
      <c r="M13" s="65"/>
      <c r="N13" s="65"/>
      <c r="O13" s="65"/>
      <c r="P13" s="66">
        <f t="shared" si="0"/>
        <v>0</v>
      </c>
    </row>
    <row r="14" spans="1:16">
      <c r="A14" s="3">
        <v>12</v>
      </c>
      <c r="B14" s="3" t="s">
        <v>1</v>
      </c>
      <c r="C14" s="3"/>
      <c r="D14" s="64"/>
      <c r="E14" s="64"/>
      <c r="F14" s="64"/>
      <c r="G14" s="64"/>
      <c r="H14" s="65"/>
      <c r="I14" s="65"/>
      <c r="J14" s="65"/>
      <c r="K14" s="65"/>
      <c r="L14" s="65"/>
      <c r="M14" s="65"/>
      <c r="N14" s="65"/>
      <c r="O14" s="65"/>
      <c r="P14" s="66">
        <f t="shared" si="0"/>
        <v>0</v>
      </c>
    </row>
    <row r="15" spans="1:16">
      <c r="A15" s="3">
        <v>13</v>
      </c>
      <c r="B15" s="3" t="s">
        <v>1</v>
      </c>
      <c r="C15" s="3"/>
      <c r="D15" s="64"/>
      <c r="E15" s="64"/>
      <c r="F15" s="64"/>
      <c r="G15" s="64"/>
      <c r="H15" s="65"/>
      <c r="I15" s="65"/>
      <c r="J15" s="65"/>
      <c r="K15" s="65"/>
      <c r="L15" s="65"/>
      <c r="M15" s="65"/>
      <c r="N15" s="65"/>
      <c r="O15" s="65"/>
      <c r="P15" s="66">
        <f t="shared" si="0"/>
        <v>0</v>
      </c>
    </row>
    <row r="16" spans="1:16">
      <c r="A16" s="3">
        <v>14</v>
      </c>
      <c r="B16" s="3" t="s">
        <v>1</v>
      </c>
      <c r="C16" s="3"/>
      <c r="D16" s="64"/>
      <c r="E16" s="64"/>
      <c r="F16" s="64"/>
      <c r="G16" s="64"/>
      <c r="H16" s="65"/>
      <c r="I16" s="65"/>
      <c r="J16" s="65"/>
      <c r="K16" s="65"/>
      <c r="L16" s="65"/>
      <c r="M16" s="65"/>
      <c r="N16" s="65"/>
      <c r="O16" s="65"/>
      <c r="P16" s="66">
        <f t="shared" si="0"/>
        <v>0</v>
      </c>
    </row>
    <row r="17" spans="1:16">
      <c r="A17" s="3">
        <v>15</v>
      </c>
      <c r="B17" s="3" t="s">
        <v>1</v>
      </c>
      <c r="C17" s="3"/>
      <c r="D17" s="64"/>
      <c r="E17" s="64"/>
      <c r="F17" s="64"/>
      <c r="G17" s="64"/>
      <c r="H17" s="65"/>
      <c r="I17" s="65"/>
      <c r="J17" s="65"/>
      <c r="K17" s="65"/>
      <c r="L17" s="65"/>
      <c r="M17" s="65"/>
      <c r="N17" s="65"/>
      <c r="O17" s="65"/>
      <c r="P17" s="66">
        <f t="shared" si="0"/>
        <v>0</v>
      </c>
    </row>
    <row r="18" spans="1:16">
      <c r="A18" s="3">
        <v>16</v>
      </c>
      <c r="B18" s="3" t="s">
        <v>1</v>
      </c>
      <c r="C18" s="3"/>
      <c r="D18" s="64"/>
      <c r="E18" s="64"/>
      <c r="F18" s="64"/>
      <c r="G18" s="64"/>
      <c r="H18" s="65"/>
      <c r="I18" s="65"/>
      <c r="J18" s="65"/>
      <c r="K18" s="65"/>
      <c r="L18" s="65"/>
      <c r="M18" s="65"/>
      <c r="N18" s="65"/>
      <c r="O18" s="65"/>
      <c r="P18" s="66">
        <f t="shared" si="0"/>
        <v>0</v>
      </c>
    </row>
    <row r="19" spans="1:16">
      <c r="A19" s="3">
        <v>17</v>
      </c>
      <c r="B19" s="3" t="s">
        <v>1</v>
      </c>
      <c r="C19" s="3"/>
      <c r="D19" s="64"/>
      <c r="E19" s="64"/>
      <c r="F19" s="64"/>
      <c r="G19" s="64"/>
      <c r="H19" s="65"/>
      <c r="I19" s="65"/>
      <c r="J19" s="65"/>
      <c r="K19" s="65"/>
      <c r="L19" s="65"/>
      <c r="M19" s="65"/>
      <c r="N19" s="65"/>
      <c r="O19" s="65"/>
      <c r="P19" s="66">
        <f t="shared" si="0"/>
        <v>0</v>
      </c>
    </row>
    <row r="20" spans="1:16">
      <c r="A20" s="3">
        <v>18</v>
      </c>
      <c r="B20" s="3" t="s">
        <v>1</v>
      </c>
      <c r="C20" s="3"/>
      <c r="D20" s="64"/>
      <c r="E20" s="64"/>
      <c r="F20" s="64"/>
      <c r="G20" s="64"/>
      <c r="H20" s="65"/>
      <c r="I20" s="65"/>
      <c r="J20" s="65"/>
      <c r="K20" s="65"/>
      <c r="L20" s="65"/>
      <c r="M20" s="65"/>
      <c r="N20" s="65"/>
      <c r="O20" s="65"/>
      <c r="P20" s="66">
        <f t="shared" si="0"/>
        <v>0</v>
      </c>
    </row>
    <row r="21" spans="1:16">
      <c r="A21" s="3">
        <v>19</v>
      </c>
      <c r="B21" s="3" t="s">
        <v>1</v>
      </c>
      <c r="C21" s="3"/>
      <c r="D21" s="64"/>
      <c r="E21" s="64"/>
      <c r="F21" s="64"/>
      <c r="G21" s="64"/>
      <c r="H21" s="65"/>
      <c r="I21" s="65"/>
      <c r="J21" s="65"/>
      <c r="K21" s="65"/>
      <c r="L21" s="65"/>
      <c r="M21" s="65"/>
      <c r="N21" s="65"/>
      <c r="O21" s="65"/>
      <c r="P21" s="66">
        <f t="shared" si="0"/>
        <v>0</v>
      </c>
    </row>
    <row r="22" spans="1:16">
      <c r="A22" s="3">
        <v>20</v>
      </c>
      <c r="B22" s="3" t="s">
        <v>1</v>
      </c>
      <c r="C22" s="3"/>
      <c r="D22" s="64"/>
      <c r="E22" s="64"/>
      <c r="F22" s="64"/>
      <c r="G22" s="64"/>
      <c r="H22" s="65"/>
      <c r="I22" s="65"/>
      <c r="J22" s="65"/>
      <c r="K22" s="65"/>
      <c r="L22" s="65"/>
      <c r="M22" s="65"/>
      <c r="N22" s="65"/>
      <c r="O22" s="65"/>
      <c r="P22" s="66">
        <f t="shared" si="0"/>
        <v>0</v>
      </c>
    </row>
    <row r="23" spans="1:16">
      <c r="A23" s="3">
        <v>21</v>
      </c>
      <c r="B23" s="3" t="s">
        <v>1</v>
      </c>
      <c r="C23" s="3"/>
      <c r="D23" s="64"/>
      <c r="E23" s="64"/>
      <c r="F23" s="64"/>
      <c r="G23" s="64"/>
      <c r="H23" s="65"/>
      <c r="I23" s="65"/>
      <c r="J23" s="65"/>
      <c r="K23" s="65"/>
      <c r="L23" s="65"/>
      <c r="M23" s="65"/>
      <c r="N23" s="65"/>
      <c r="O23" s="65"/>
      <c r="P23" s="66">
        <f t="shared" si="0"/>
        <v>0</v>
      </c>
    </row>
    <row r="24" spans="1:16">
      <c r="A24" s="3">
        <v>22</v>
      </c>
      <c r="B24" s="3" t="s">
        <v>1</v>
      </c>
      <c r="C24" s="3"/>
      <c r="D24" s="64"/>
      <c r="E24" s="64"/>
      <c r="F24" s="64"/>
      <c r="G24" s="64"/>
      <c r="H24" s="65"/>
      <c r="I24" s="65"/>
      <c r="J24" s="65"/>
      <c r="K24" s="65"/>
      <c r="L24" s="65"/>
      <c r="M24" s="65"/>
      <c r="N24" s="65"/>
      <c r="O24" s="65"/>
      <c r="P24" s="66">
        <f t="shared" si="0"/>
        <v>0</v>
      </c>
    </row>
    <row r="25" spans="1:16">
      <c r="A25" s="3">
        <v>23</v>
      </c>
      <c r="B25" s="3" t="s">
        <v>1</v>
      </c>
      <c r="C25" s="3"/>
      <c r="D25" s="64"/>
      <c r="E25" s="64"/>
      <c r="F25" s="64"/>
      <c r="G25" s="64"/>
      <c r="H25" s="65"/>
      <c r="I25" s="65"/>
      <c r="J25" s="65"/>
      <c r="K25" s="65"/>
      <c r="L25" s="65"/>
      <c r="M25" s="65"/>
      <c r="N25" s="65"/>
      <c r="O25" s="65"/>
      <c r="P25" s="66">
        <f t="shared" si="0"/>
        <v>0</v>
      </c>
    </row>
    <row r="26" spans="1:16">
      <c r="A26" s="3">
        <v>24</v>
      </c>
      <c r="B26" s="3" t="s">
        <v>1</v>
      </c>
      <c r="C26" s="3"/>
      <c r="D26" s="64"/>
      <c r="E26" s="64"/>
      <c r="F26" s="64"/>
      <c r="G26" s="64"/>
      <c r="H26" s="65"/>
      <c r="I26" s="65"/>
      <c r="J26" s="65"/>
      <c r="K26" s="65"/>
      <c r="L26" s="65"/>
      <c r="M26" s="65"/>
      <c r="N26" s="65"/>
      <c r="O26" s="65"/>
      <c r="P26" s="66">
        <f t="shared" si="0"/>
        <v>0</v>
      </c>
    </row>
    <row r="27" spans="1:16">
      <c r="A27" s="3">
        <v>25</v>
      </c>
      <c r="B27" s="3" t="s">
        <v>1</v>
      </c>
      <c r="C27" s="3"/>
      <c r="D27" s="64"/>
      <c r="E27" s="64"/>
      <c r="F27" s="64"/>
      <c r="G27" s="64"/>
      <c r="H27" s="65"/>
      <c r="I27" s="65"/>
      <c r="J27" s="65"/>
      <c r="K27" s="65"/>
      <c r="L27" s="65"/>
      <c r="M27" s="65"/>
      <c r="N27" s="65"/>
      <c r="O27" s="65"/>
      <c r="P27" s="66">
        <f t="shared" si="0"/>
        <v>0</v>
      </c>
    </row>
    <row r="28" spans="1:16">
      <c r="A28" s="3">
        <v>26</v>
      </c>
      <c r="B28" s="3" t="s">
        <v>1</v>
      </c>
      <c r="C28" s="3"/>
      <c r="D28" s="64"/>
      <c r="E28" s="64"/>
      <c r="F28" s="64"/>
      <c r="G28" s="64"/>
      <c r="H28" s="65"/>
      <c r="I28" s="65"/>
      <c r="J28" s="65"/>
      <c r="K28" s="65"/>
      <c r="L28" s="65"/>
      <c r="M28" s="65"/>
      <c r="N28" s="65"/>
      <c r="O28" s="65"/>
      <c r="P28" s="66">
        <f t="shared" si="0"/>
        <v>0</v>
      </c>
    </row>
    <row r="29" spans="1:16">
      <c r="A29" s="3">
        <v>27</v>
      </c>
      <c r="B29" s="3" t="s">
        <v>1</v>
      </c>
      <c r="C29" s="3"/>
      <c r="D29" s="64"/>
      <c r="E29" s="64"/>
      <c r="F29" s="64"/>
      <c r="G29" s="64"/>
      <c r="H29" s="65"/>
      <c r="I29" s="65"/>
      <c r="J29" s="65"/>
      <c r="K29" s="65"/>
      <c r="L29" s="65"/>
      <c r="M29" s="65"/>
      <c r="N29" s="65"/>
      <c r="O29" s="65"/>
      <c r="P29" s="66">
        <f t="shared" si="0"/>
        <v>0</v>
      </c>
    </row>
    <row r="30" spans="1:16">
      <c r="A30" s="3">
        <v>28</v>
      </c>
      <c r="B30" s="3" t="s">
        <v>1</v>
      </c>
      <c r="C30" s="3"/>
      <c r="D30" s="64"/>
      <c r="E30" s="64"/>
      <c r="F30" s="64"/>
      <c r="G30" s="64"/>
      <c r="H30" s="65"/>
      <c r="I30" s="65"/>
      <c r="J30" s="65"/>
      <c r="K30" s="65"/>
      <c r="L30" s="65"/>
      <c r="M30" s="65"/>
      <c r="N30" s="65"/>
      <c r="O30" s="65"/>
      <c r="P30" s="66">
        <f t="shared" si="0"/>
        <v>0</v>
      </c>
    </row>
    <row r="31" spans="1:16">
      <c r="A31" s="3">
        <v>29</v>
      </c>
      <c r="B31" s="3" t="s">
        <v>1</v>
      </c>
      <c r="C31" s="3"/>
      <c r="D31" s="64"/>
      <c r="E31" s="64"/>
      <c r="F31" s="64"/>
      <c r="G31" s="64"/>
      <c r="H31" s="65"/>
      <c r="I31" s="65"/>
      <c r="J31" s="65"/>
      <c r="K31" s="65"/>
      <c r="L31" s="65"/>
      <c r="M31" s="65"/>
      <c r="N31" s="65"/>
      <c r="O31" s="65"/>
      <c r="P31" s="66">
        <f t="shared" si="0"/>
        <v>0</v>
      </c>
    </row>
    <row r="32" spans="1:16">
      <c r="A32" s="3">
        <v>30</v>
      </c>
      <c r="B32" s="3" t="s">
        <v>1</v>
      </c>
      <c r="C32" s="3"/>
      <c r="D32" s="64"/>
      <c r="E32" s="64"/>
      <c r="F32" s="64"/>
      <c r="G32" s="64"/>
      <c r="H32" s="65"/>
      <c r="I32" s="65"/>
      <c r="J32" s="65"/>
      <c r="K32" s="65"/>
      <c r="L32" s="65"/>
      <c r="M32" s="65"/>
      <c r="N32" s="65"/>
      <c r="O32" s="65"/>
      <c r="P32" s="66">
        <f t="shared" si="0"/>
        <v>0</v>
      </c>
    </row>
    <row r="33" spans="1:16">
      <c r="A33" s="3">
        <v>31</v>
      </c>
      <c r="B33" s="3" t="s">
        <v>1</v>
      </c>
      <c r="C33" s="3"/>
      <c r="D33" s="64"/>
      <c r="E33" s="64"/>
      <c r="F33" s="64"/>
      <c r="G33" s="64"/>
      <c r="H33" s="65"/>
      <c r="I33" s="65"/>
      <c r="J33" s="65"/>
      <c r="K33" s="65"/>
      <c r="L33" s="65"/>
      <c r="M33" s="65"/>
      <c r="N33" s="65"/>
      <c r="O33" s="65"/>
      <c r="P33" s="66">
        <f t="shared" si="0"/>
        <v>0</v>
      </c>
    </row>
    <row r="34" spans="1:16">
      <c r="A34" s="3">
        <v>32</v>
      </c>
      <c r="B34" s="3" t="s">
        <v>1</v>
      </c>
      <c r="C34" s="3"/>
      <c r="D34" s="64"/>
      <c r="E34" s="64"/>
      <c r="F34" s="64"/>
      <c r="G34" s="64"/>
      <c r="H34" s="65"/>
      <c r="I34" s="65"/>
      <c r="J34" s="65"/>
      <c r="K34" s="65"/>
      <c r="L34" s="65"/>
      <c r="M34" s="65"/>
      <c r="N34" s="65"/>
      <c r="O34" s="65"/>
      <c r="P34" s="66">
        <f t="shared" si="0"/>
        <v>0</v>
      </c>
    </row>
    <row r="35" spans="1:16">
      <c r="A35" s="3">
        <v>33</v>
      </c>
      <c r="B35" s="3" t="s">
        <v>1</v>
      </c>
      <c r="C35" s="3"/>
      <c r="D35" s="64"/>
      <c r="E35" s="64"/>
      <c r="F35" s="64"/>
      <c r="G35" s="64"/>
      <c r="H35" s="65"/>
      <c r="I35" s="65"/>
      <c r="J35" s="65"/>
      <c r="K35" s="65"/>
      <c r="L35" s="65"/>
      <c r="M35" s="65"/>
      <c r="N35" s="65"/>
      <c r="O35" s="65"/>
      <c r="P35" s="66">
        <f t="shared" si="0"/>
        <v>0</v>
      </c>
    </row>
    <row r="36" spans="1:16">
      <c r="A36" s="3">
        <v>34</v>
      </c>
      <c r="B36" s="3" t="s">
        <v>1</v>
      </c>
      <c r="C36" s="3"/>
      <c r="D36" s="64"/>
      <c r="E36" s="64"/>
      <c r="F36" s="64"/>
      <c r="G36" s="64"/>
      <c r="H36" s="65"/>
      <c r="I36" s="65"/>
      <c r="J36" s="65"/>
      <c r="K36" s="65"/>
      <c r="L36" s="65"/>
      <c r="M36" s="65"/>
      <c r="N36" s="65"/>
      <c r="O36" s="65"/>
      <c r="P36" s="66">
        <f t="shared" si="0"/>
        <v>0</v>
      </c>
    </row>
    <row r="37" spans="1:16">
      <c r="A37" s="3">
        <v>35</v>
      </c>
      <c r="B37" s="3" t="s">
        <v>1</v>
      </c>
      <c r="C37" s="3"/>
      <c r="D37" s="64"/>
      <c r="E37" s="64"/>
      <c r="F37" s="64"/>
      <c r="G37" s="64"/>
      <c r="H37" s="65"/>
      <c r="I37" s="65"/>
      <c r="J37" s="65"/>
      <c r="K37" s="65"/>
      <c r="L37" s="65"/>
      <c r="M37" s="65"/>
      <c r="N37" s="65"/>
      <c r="O37" s="65"/>
      <c r="P37" s="66">
        <f t="shared" si="0"/>
        <v>0</v>
      </c>
    </row>
    <row r="38" spans="1:16">
      <c r="A38" s="3">
        <v>36</v>
      </c>
      <c r="B38" s="3" t="s">
        <v>1</v>
      </c>
      <c r="C38" s="3"/>
      <c r="D38" s="64"/>
      <c r="E38" s="64"/>
      <c r="F38" s="64"/>
      <c r="G38" s="64"/>
      <c r="H38" s="65"/>
      <c r="I38" s="65"/>
      <c r="J38" s="65"/>
      <c r="K38" s="65"/>
      <c r="L38" s="65"/>
      <c r="M38" s="65"/>
      <c r="N38" s="65"/>
      <c r="O38" s="65"/>
      <c r="P38" s="66">
        <f t="shared" si="0"/>
        <v>0</v>
      </c>
    </row>
    <row r="39" spans="1:16">
      <c r="A39" s="3">
        <v>37</v>
      </c>
      <c r="B39" s="3" t="s">
        <v>1</v>
      </c>
      <c r="C39" s="3"/>
      <c r="D39" s="64"/>
      <c r="E39" s="64"/>
      <c r="F39" s="64"/>
      <c r="G39" s="64"/>
      <c r="H39" s="65"/>
      <c r="I39" s="65"/>
      <c r="J39" s="65"/>
      <c r="K39" s="65"/>
      <c r="L39" s="65"/>
      <c r="M39" s="65"/>
      <c r="N39" s="65"/>
      <c r="O39" s="65"/>
      <c r="P39" s="66">
        <f t="shared" si="0"/>
        <v>0</v>
      </c>
    </row>
    <row r="40" spans="1:16">
      <c r="A40" s="3">
        <v>38</v>
      </c>
      <c r="B40" s="3" t="s">
        <v>1</v>
      </c>
      <c r="C40" s="3"/>
      <c r="D40" s="64"/>
      <c r="E40" s="64"/>
      <c r="F40" s="64"/>
      <c r="G40" s="64"/>
      <c r="H40" s="65"/>
      <c r="I40" s="65"/>
      <c r="J40" s="65"/>
      <c r="K40" s="65"/>
      <c r="L40" s="65"/>
      <c r="M40" s="65"/>
      <c r="N40" s="65"/>
      <c r="O40" s="65"/>
      <c r="P40" s="66">
        <f t="shared" si="0"/>
        <v>0</v>
      </c>
    </row>
    <row r="41" spans="1:16">
      <c r="A41" s="3">
        <v>39</v>
      </c>
      <c r="B41" s="3" t="s">
        <v>1</v>
      </c>
      <c r="C41" s="3"/>
      <c r="D41" s="64"/>
      <c r="E41" s="64"/>
      <c r="F41" s="64"/>
      <c r="G41" s="64"/>
      <c r="H41" s="65"/>
      <c r="I41" s="65"/>
      <c r="J41" s="65"/>
      <c r="K41" s="65"/>
      <c r="L41" s="65"/>
      <c r="M41" s="65"/>
      <c r="N41" s="65"/>
      <c r="O41" s="65"/>
      <c r="P41" s="66">
        <f t="shared" si="0"/>
        <v>0</v>
      </c>
    </row>
    <row r="42" spans="1:16">
      <c r="A42" s="3">
        <v>40</v>
      </c>
      <c r="B42" s="3" t="s">
        <v>1</v>
      </c>
      <c r="C42" s="3"/>
      <c r="D42" s="64"/>
      <c r="E42" s="64"/>
      <c r="F42" s="64"/>
      <c r="G42" s="64"/>
      <c r="H42" s="65"/>
      <c r="I42" s="65"/>
      <c r="J42" s="65"/>
      <c r="K42" s="65"/>
      <c r="L42" s="65"/>
      <c r="M42" s="65"/>
      <c r="N42" s="65"/>
      <c r="O42" s="65"/>
      <c r="P42" s="66">
        <f t="shared" si="0"/>
        <v>0</v>
      </c>
    </row>
    <row r="43" spans="1:16">
      <c r="A43" s="3">
        <v>41</v>
      </c>
      <c r="B43" s="3" t="s">
        <v>1</v>
      </c>
      <c r="C43" s="3"/>
      <c r="D43" s="64"/>
      <c r="E43" s="64"/>
      <c r="F43" s="64"/>
      <c r="G43" s="64"/>
      <c r="H43" s="65"/>
      <c r="I43" s="65"/>
      <c r="J43" s="65"/>
      <c r="K43" s="65"/>
      <c r="L43" s="65"/>
      <c r="M43" s="65"/>
      <c r="N43" s="65"/>
      <c r="O43" s="65"/>
      <c r="P43" s="66">
        <f t="shared" si="0"/>
        <v>0</v>
      </c>
    </row>
    <row r="44" spans="1:16">
      <c r="A44" s="3">
        <v>42</v>
      </c>
      <c r="B44" s="3" t="s">
        <v>1</v>
      </c>
      <c r="C44" s="3"/>
      <c r="D44" s="64"/>
      <c r="E44" s="64"/>
      <c r="F44" s="64"/>
      <c r="G44" s="64"/>
      <c r="H44" s="65"/>
      <c r="I44" s="65"/>
      <c r="J44" s="65"/>
      <c r="K44" s="65"/>
      <c r="L44" s="65"/>
      <c r="M44" s="65"/>
      <c r="N44" s="65"/>
      <c r="O44" s="65"/>
      <c r="P44" s="66">
        <f t="shared" si="0"/>
        <v>0</v>
      </c>
    </row>
    <row r="45" spans="1:16">
      <c r="A45" s="3">
        <v>43</v>
      </c>
      <c r="B45" s="3" t="s">
        <v>1</v>
      </c>
      <c r="C45" s="3"/>
      <c r="D45" s="64"/>
      <c r="E45" s="64"/>
      <c r="F45" s="64"/>
      <c r="G45" s="64"/>
      <c r="H45" s="65"/>
      <c r="I45" s="65"/>
      <c r="J45" s="65"/>
      <c r="K45" s="65"/>
      <c r="L45" s="65"/>
      <c r="M45" s="65"/>
      <c r="N45" s="65"/>
      <c r="O45" s="65"/>
      <c r="P45" s="66">
        <f t="shared" si="0"/>
        <v>0</v>
      </c>
    </row>
    <row r="46" spans="1:16">
      <c r="A46" s="3">
        <v>44</v>
      </c>
      <c r="B46" s="3" t="s">
        <v>1</v>
      </c>
      <c r="C46" s="3"/>
      <c r="D46" s="64"/>
      <c r="E46" s="64"/>
      <c r="F46" s="64"/>
      <c r="G46" s="64"/>
      <c r="H46" s="65"/>
      <c r="I46" s="65"/>
      <c r="J46" s="65"/>
      <c r="K46" s="65"/>
      <c r="L46" s="65"/>
      <c r="M46" s="65"/>
      <c r="N46" s="65"/>
      <c r="O46" s="65"/>
      <c r="P46" s="66">
        <f t="shared" si="0"/>
        <v>0</v>
      </c>
    </row>
    <row r="47" spans="1:16">
      <c r="A47" s="3">
        <v>45</v>
      </c>
      <c r="B47" s="3" t="s">
        <v>1</v>
      </c>
      <c r="C47" s="3"/>
      <c r="D47" s="64"/>
      <c r="E47" s="64"/>
      <c r="F47" s="64"/>
      <c r="G47" s="64"/>
      <c r="H47" s="65"/>
      <c r="I47" s="65"/>
      <c r="J47" s="65"/>
      <c r="K47" s="65"/>
      <c r="L47" s="65"/>
      <c r="M47" s="65"/>
      <c r="N47" s="65"/>
      <c r="O47" s="65"/>
      <c r="P47" s="66">
        <f t="shared" si="0"/>
        <v>0</v>
      </c>
    </row>
    <row r="48" spans="1:16">
      <c r="A48" s="3">
        <v>46</v>
      </c>
      <c r="B48" s="3" t="s">
        <v>1</v>
      </c>
      <c r="C48" s="3"/>
      <c r="D48" s="64"/>
      <c r="E48" s="64"/>
      <c r="F48" s="64"/>
      <c r="G48" s="64"/>
      <c r="H48" s="65"/>
      <c r="I48" s="65"/>
      <c r="J48" s="65"/>
      <c r="K48" s="65"/>
      <c r="L48" s="65"/>
      <c r="M48" s="65"/>
      <c r="N48" s="65"/>
      <c r="O48" s="65"/>
      <c r="P48" s="66">
        <f t="shared" si="0"/>
        <v>0</v>
      </c>
    </row>
    <row r="49" spans="1:16">
      <c r="A49" s="3">
        <v>47</v>
      </c>
      <c r="B49" s="3" t="s">
        <v>1</v>
      </c>
      <c r="C49" s="3"/>
      <c r="D49" s="64"/>
      <c r="E49" s="64"/>
      <c r="F49" s="64"/>
      <c r="G49" s="64"/>
      <c r="H49" s="65"/>
      <c r="I49" s="65"/>
      <c r="J49" s="65"/>
      <c r="K49" s="65"/>
      <c r="L49" s="65"/>
      <c r="M49" s="65"/>
      <c r="N49" s="65"/>
      <c r="O49" s="65"/>
      <c r="P49" s="66">
        <f t="shared" si="0"/>
        <v>0</v>
      </c>
    </row>
    <row r="50" spans="1:16">
      <c r="A50" s="3">
        <v>48</v>
      </c>
      <c r="B50" s="3" t="s">
        <v>1</v>
      </c>
      <c r="C50" s="3"/>
      <c r="D50" s="64"/>
      <c r="E50" s="64"/>
      <c r="F50" s="64"/>
      <c r="G50" s="64"/>
      <c r="H50" s="65"/>
      <c r="I50" s="65"/>
      <c r="J50" s="65"/>
      <c r="K50" s="65"/>
      <c r="L50" s="65"/>
      <c r="M50" s="65"/>
      <c r="N50" s="65"/>
      <c r="O50" s="65"/>
      <c r="P50" s="66">
        <f t="shared" si="0"/>
        <v>0</v>
      </c>
    </row>
    <row r="51" spans="1:16">
      <c r="A51" s="3">
        <v>49</v>
      </c>
      <c r="B51" s="3" t="s">
        <v>1</v>
      </c>
      <c r="C51" s="3"/>
      <c r="D51" s="64"/>
      <c r="E51" s="64"/>
      <c r="F51" s="64"/>
      <c r="G51" s="64"/>
      <c r="H51" s="65"/>
      <c r="I51" s="65"/>
      <c r="J51" s="65"/>
      <c r="K51" s="65"/>
      <c r="L51" s="65"/>
      <c r="M51" s="65"/>
      <c r="N51" s="65"/>
      <c r="O51" s="65"/>
      <c r="P51" s="66">
        <f t="shared" si="0"/>
        <v>0</v>
      </c>
    </row>
    <row r="52" spans="1:16">
      <c r="A52" s="3">
        <v>50</v>
      </c>
      <c r="B52" s="3" t="s">
        <v>1</v>
      </c>
      <c r="C52" s="3"/>
      <c r="D52" s="64"/>
      <c r="E52" s="64"/>
      <c r="F52" s="64"/>
      <c r="G52" s="64"/>
      <c r="H52" s="65"/>
      <c r="I52" s="65"/>
      <c r="J52" s="65"/>
      <c r="K52" s="65"/>
      <c r="L52" s="65"/>
      <c r="M52" s="65"/>
      <c r="N52" s="65"/>
      <c r="O52" s="65"/>
      <c r="P52" s="66">
        <f t="shared" si="0"/>
        <v>0</v>
      </c>
    </row>
    <row r="53" spans="1:16">
      <c r="A53" s="3">
        <v>51</v>
      </c>
      <c r="B53" s="3" t="s">
        <v>1</v>
      </c>
      <c r="C53" s="3"/>
      <c r="D53" s="64"/>
      <c r="E53" s="64"/>
      <c r="F53" s="64"/>
      <c r="G53" s="64"/>
      <c r="H53" s="65"/>
      <c r="I53" s="65"/>
      <c r="J53" s="65"/>
      <c r="K53" s="65"/>
      <c r="L53" s="65"/>
      <c r="M53" s="65"/>
      <c r="N53" s="65"/>
      <c r="O53" s="65"/>
      <c r="P53" s="66">
        <f t="shared" si="0"/>
        <v>0</v>
      </c>
    </row>
    <row r="54" spans="1:16">
      <c r="A54" s="3">
        <v>52</v>
      </c>
      <c r="B54" s="3" t="s">
        <v>1</v>
      </c>
      <c r="C54" s="3"/>
      <c r="D54" s="64"/>
      <c r="E54" s="64"/>
      <c r="F54" s="64"/>
      <c r="G54" s="64"/>
      <c r="H54" s="65"/>
      <c r="I54" s="65"/>
      <c r="J54" s="65"/>
      <c r="K54" s="65"/>
      <c r="L54" s="65"/>
      <c r="M54" s="65"/>
      <c r="N54" s="65"/>
      <c r="O54" s="65"/>
      <c r="P54" s="66">
        <f t="shared" si="0"/>
        <v>0</v>
      </c>
    </row>
    <row r="55" spans="1:16">
      <c r="A55" s="3">
        <v>53</v>
      </c>
      <c r="B55" s="3" t="s">
        <v>1</v>
      </c>
      <c r="C55" s="3"/>
      <c r="D55" s="64"/>
      <c r="E55" s="64"/>
      <c r="F55" s="64"/>
      <c r="G55" s="64"/>
      <c r="H55" s="65"/>
      <c r="I55" s="65"/>
      <c r="J55" s="65"/>
      <c r="K55" s="65"/>
      <c r="L55" s="65"/>
      <c r="M55" s="65"/>
      <c r="N55" s="65"/>
      <c r="O55" s="65"/>
      <c r="P55" s="66">
        <f t="shared" si="0"/>
        <v>0</v>
      </c>
    </row>
    <row r="56" spans="1:16">
      <c r="A56" s="3">
        <v>54</v>
      </c>
      <c r="B56" s="3" t="s">
        <v>1</v>
      </c>
      <c r="C56" s="3"/>
      <c r="D56" s="64"/>
      <c r="E56" s="64"/>
      <c r="F56" s="64"/>
      <c r="G56" s="64"/>
      <c r="H56" s="65"/>
      <c r="I56" s="65"/>
      <c r="J56" s="65"/>
      <c r="K56" s="65"/>
      <c r="L56" s="65"/>
      <c r="M56" s="65"/>
      <c r="N56" s="65"/>
      <c r="O56" s="65"/>
      <c r="P56" s="66">
        <f t="shared" si="0"/>
        <v>0</v>
      </c>
    </row>
    <row r="57" spans="1:16">
      <c r="A57" s="3">
        <v>55</v>
      </c>
      <c r="B57" s="3" t="s">
        <v>1</v>
      </c>
      <c r="C57" s="3"/>
      <c r="D57" s="64"/>
      <c r="E57" s="64"/>
      <c r="F57" s="64"/>
      <c r="G57" s="64"/>
      <c r="H57" s="65"/>
      <c r="I57" s="65"/>
      <c r="J57" s="65"/>
      <c r="K57" s="65"/>
      <c r="L57" s="65"/>
      <c r="M57" s="65"/>
      <c r="N57" s="65"/>
      <c r="O57" s="65"/>
      <c r="P57" s="66">
        <f t="shared" si="0"/>
        <v>0</v>
      </c>
    </row>
    <row r="58" spans="1:16">
      <c r="A58" s="3">
        <v>56</v>
      </c>
      <c r="B58" s="3" t="s">
        <v>1</v>
      </c>
      <c r="C58" s="3"/>
      <c r="D58" s="64"/>
      <c r="E58" s="64"/>
      <c r="F58" s="64"/>
      <c r="G58" s="64"/>
      <c r="H58" s="65"/>
      <c r="I58" s="65"/>
      <c r="J58" s="65"/>
      <c r="K58" s="65"/>
      <c r="L58" s="65"/>
      <c r="M58" s="65"/>
      <c r="N58" s="65"/>
      <c r="O58" s="65"/>
      <c r="P58" s="66">
        <f t="shared" si="0"/>
        <v>0</v>
      </c>
    </row>
    <row r="59" spans="1:16">
      <c r="A59" s="3">
        <v>57</v>
      </c>
      <c r="B59" s="3" t="s">
        <v>1</v>
      </c>
      <c r="C59" s="3"/>
      <c r="D59" s="64"/>
      <c r="E59" s="64"/>
      <c r="F59" s="64"/>
      <c r="G59" s="64"/>
      <c r="H59" s="65"/>
      <c r="I59" s="65"/>
      <c r="J59" s="65"/>
      <c r="K59" s="65"/>
      <c r="L59" s="65"/>
      <c r="M59" s="65"/>
      <c r="N59" s="65"/>
      <c r="O59" s="65"/>
      <c r="P59" s="66">
        <f t="shared" si="0"/>
        <v>0</v>
      </c>
    </row>
    <row r="60" spans="1:16">
      <c r="A60" s="3">
        <v>58</v>
      </c>
      <c r="B60" s="3" t="s">
        <v>1</v>
      </c>
      <c r="C60" s="3"/>
      <c r="D60" s="64"/>
      <c r="E60" s="64"/>
      <c r="F60" s="64"/>
      <c r="G60" s="64"/>
      <c r="H60" s="65"/>
      <c r="I60" s="65"/>
      <c r="J60" s="65"/>
      <c r="K60" s="65"/>
      <c r="L60" s="65"/>
      <c r="M60" s="65"/>
      <c r="N60" s="65"/>
      <c r="O60" s="65"/>
      <c r="P60" s="66">
        <f t="shared" si="0"/>
        <v>0</v>
      </c>
    </row>
    <row r="61" spans="1:16">
      <c r="A61" s="3">
        <v>59</v>
      </c>
      <c r="B61" s="3" t="s">
        <v>1</v>
      </c>
      <c r="C61" s="3"/>
      <c r="D61" s="64"/>
      <c r="E61" s="64"/>
      <c r="F61" s="64"/>
      <c r="G61" s="64"/>
      <c r="H61" s="65"/>
      <c r="I61" s="65"/>
      <c r="J61" s="65"/>
      <c r="K61" s="65"/>
      <c r="L61" s="65"/>
      <c r="M61" s="65"/>
      <c r="N61" s="65"/>
      <c r="O61" s="65"/>
      <c r="P61" s="66">
        <f t="shared" si="0"/>
        <v>0</v>
      </c>
    </row>
    <row r="62" spans="1:16">
      <c r="A62" s="3">
        <v>60</v>
      </c>
      <c r="B62" s="3" t="s">
        <v>1</v>
      </c>
      <c r="C62" s="3"/>
      <c r="D62" s="64"/>
      <c r="E62" s="64"/>
      <c r="F62" s="64"/>
      <c r="G62" s="64"/>
      <c r="H62" s="65"/>
      <c r="I62" s="65"/>
      <c r="J62" s="65"/>
      <c r="K62" s="65"/>
      <c r="L62" s="65"/>
      <c r="M62" s="65"/>
      <c r="N62" s="65"/>
      <c r="O62" s="65"/>
      <c r="P62" s="66">
        <f t="shared" si="0"/>
        <v>0</v>
      </c>
    </row>
    <row r="63" spans="1:16">
      <c r="A63" s="3">
        <v>61</v>
      </c>
      <c r="B63" s="3" t="s">
        <v>1</v>
      </c>
      <c r="C63" s="3"/>
      <c r="D63" s="64"/>
      <c r="E63" s="64"/>
      <c r="F63" s="64"/>
      <c r="G63" s="64"/>
      <c r="H63" s="65"/>
      <c r="I63" s="65"/>
      <c r="J63" s="65"/>
      <c r="K63" s="65"/>
      <c r="L63" s="65"/>
      <c r="M63" s="65"/>
      <c r="N63" s="65"/>
      <c r="O63" s="65"/>
      <c r="P63" s="66">
        <f t="shared" si="0"/>
        <v>0</v>
      </c>
    </row>
    <row r="64" spans="1:16">
      <c r="A64" s="3">
        <v>62</v>
      </c>
      <c r="B64" s="3" t="s">
        <v>1</v>
      </c>
      <c r="C64" s="3"/>
      <c r="D64" s="64"/>
      <c r="E64" s="64"/>
      <c r="F64" s="64"/>
      <c r="G64" s="64"/>
      <c r="H64" s="65"/>
      <c r="I64" s="65"/>
      <c r="J64" s="65"/>
      <c r="K64" s="65"/>
      <c r="L64" s="65"/>
      <c r="M64" s="65"/>
      <c r="N64" s="65"/>
      <c r="O64" s="65"/>
      <c r="P64" s="66">
        <f t="shared" si="0"/>
        <v>0</v>
      </c>
    </row>
    <row r="65" spans="1:16">
      <c r="A65" s="3">
        <v>63</v>
      </c>
      <c r="B65" s="3" t="s">
        <v>1</v>
      </c>
      <c r="C65" s="3"/>
      <c r="D65" s="64"/>
      <c r="E65" s="64"/>
      <c r="F65" s="64"/>
      <c r="G65" s="64"/>
      <c r="H65" s="65"/>
      <c r="I65" s="65"/>
      <c r="J65" s="65"/>
      <c r="K65" s="65"/>
      <c r="L65" s="65"/>
      <c r="M65" s="65"/>
      <c r="N65" s="65"/>
      <c r="O65" s="65"/>
      <c r="P65" s="66">
        <f t="shared" si="0"/>
        <v>0</v>
      </c>
    </row>
    <row r="66" spans="1:16">
      <c r="A66" s="3">
        <v>64</v>
      </c>
      <c r="B66" s="3" t="s">
        <v>1</v>
      </c>
      <c r="C66" s="3"/>
      <c r="D66" s="64"/>
      <c r="E66" s="64"/>
      <c r="F66" s="64"/>
      <c r="G66" s="64"/>
      <c r="H66" s="65"/>
      <c r="I66" s="65"/>
      <c r="J66" s="65"/>
      <c r="K66" s="65"/>
      <c r="L66" s="65"/>
      <c r="M66" s="65"/>
      <c r="N66" s="65"/>
      <c r="O66" s="65"/>
      <c r="P66" s="66">
        <f t="shared" si="0"/>
        <v>0</v>
      </c>
    </row>
    <row r="67" spans="1:16">
      <c r="A67" s="3">
        <v>65</v>
      </c>
      <c r="B67" s="3" t="s">
        <v>1</v>
      </c>
      <c r="C67" s="3"/>
      <c r="D67" s="64"/>
      <c r="E67" s="64"/>
      <c r="F67" s="64"/>
      <c r="G67" s="64"/>
      <c r="H67" s="65"/>
      <c r="I67" s="65"/>
      <c r="J67" s="65"/>
      <c r="K67" s="65"/>
      <c r="L67" s="65"/>
      <c r="M67" s="65"/>
      <c r="N67" s="65"/>
      <c r="O67" s="65"/>
      <c r="P67" s="66">
        <f t="shared" si="0"/>
        <v>0</v>
      </c>
    </row>
    <row r="68" spans="1:16">
      <c r="A68" s="3">
        <v>66</v>
      </c>
      <c r="B68" s="3" t="s">
        <v>1</v>
      </c>
      <c r="C68" s="3"/>
      <c r="D68" s="64"/>
      <c r="E68" s="64"/>
      <c r="F68" s="64"/>
      <c r="G68" s="64"/>
      <c r="H68" s="65"/>
      <c r="I68" s="65"/>
      <c r="J68" s="65"/>
      <c r="K68" s="65"/>
      <c r="L68" s="65"/>
      <c r="M68" s="65"/>
      <c r="N68" s="65"/>
      <c r="O68" s="65"/>
      <c r="P68" s="66">
        <f t="shared" ref="P68:P97" si="1">SUM(D68:O68)</f>
        <v>0</v>
      </c>
    </row>
    <row r="69" spans="1:16">
      <c r="A69" s="3">
        <v>67</v>
      </c>
      <c r="B69" s="3" t="s">
        <v>1</v>
      </c>
      <c r="C69" s="3"/>
      <c r="D69" s="64"/>
      <c r="E69" s="64"/>
      <c r="F69" s="64"/>
      <c r="G69" s="64"/>
      <c r="H69" s="65"/>
      <c r="I69" s="65"/>
      <c r="J69" s="65"/>
      <c r="K69" s="65"/>
      <c r="L69" s="65"/>
      <c r="M69" s="65"/>
      <c r="N69" s="65"/>
      <c r="O69" s="65"/>
      <c r="P69" s="66">
        <f t="shared" si="1"/>
        <v>0</v>
      </c>
    </row>
    <row r="70" spans="1:16">
      <c r="A70" s="3">
        <v>68</v>
      </c>
      <c r="B70" s="3" t="s">
        <v>1</v>
      </c>
      <c r="C70" s="3"/>
      <c r="D70" s="64"/>
      <c r="E70" s="64"/>
      <c r="F70" s="64"/>
      <c r="G70" s="64"/>
      <c r="H70" s="65"/>
      <c r="I70" s="65"/>
      <c r="J70" s="65"/>
      <c r="K70" s="65"/>
      <c r="L70" s="65"/>
      <c r="M70" s="65"/>
      <c r="N70" s="65"/>
      <c r="O70" s="65"/>
      <c r="P70" s="66">
        <f t="shared" si="1"/>
        <v>0</v>
      </c>
    </row>
    <row r="71" spans="1:16">
      <c r="A71" s="3">
        <v>69</v>
      </c>
      <c r="B71" s="3" t="s">
        <v>1</v>
      </c>
      <c r="C71" s="3"/>
      <c r="D71" s="64"/>
      <c r="E71" s="64"/>
      <c r="F71" s="64"/>
      <c r="G71" s="64"/>
      <c r="H71" s="65"/>
      <c r="I71" s="65"/>
      <c r="J71" s="65"/>
      <c r="K71" s="65"/>
      <c r="L71" s="65"/>
      <c r="M71" s="65"/>
      <c r="N71" s="65"/>
      <c r="O71" s="65"/>
      <c r="P71" s="66">
        <f t="shared" si="1"/>
        <v>0</v>
      </c>
    </row>
    <row r="72" spans="1:16">
      <c r="A72" s="3">
        <v>70</v>
      </c>
      <c r="B72" s="3" t="s">
        <v>1</v>
      </c>
      <c r="C72" s="3"/>
      <c r="D72" s="64"/>
      <c r="E72" s="64"/>
      <c r="F72" s="64"/>
      <c r="G72" s="64"/>
      <c r="H72" s="65"/>
      <c r="I72" s="65"/>
      <c r="J72" s="65"/>
      <c r="K72" s="65"/>
      <c r="L72" s="65"/>
      <c r="M72" s="65"/>
      <c r="N72" s="65"/>
      <c r="O72" s="65"/>
      <c r="P72" s="66">
        <f t="shared" si="1"/>
        <v>0</v>
      </c>
    </row>
    <row r="73" spans="1:16">
      <c r="A73" s="3">
        <v>71</v>
      </c>
      <c r="B73" s="3" t="s">
        <v>1</v>
      </c>
      <c r="C73" s="3"/>
      <c r="D73" s="64"/>
      <c r="E73" s="64"/>
      <c r="F73" s="64"/>
      <c r="G73" s="64"/>
      <c r="H73" s="65"/>
      <c r="I73" s="65"/>
      <c r="J73" s="65"/>
      <c r="K73" s="65"/>
      <c r="L73" s="65"/>
      <c r="M73" s="65"/>
      <c r="N73" s="65"/>
      <c r="O73" s="65"/>
      <c r="P73" s="66">
        <f t="shared" si="1"/>
        <v>0</v>
      </c>
    </row>
    <row r="74" spans="1:16">
      <c r="A74" s="3">
        <v>72</v>
      </c>
      <c r="B74" s="3" t="s">
        <v>1</v>
      </c>
      <c r="C74" s="3"/>
      <c r="D74" s="64"/>
      <c r="E74" s="64"/>
      <c r="F74" s="64"/>
      <c r="G74" s="64"/>
      <c r="H74" s="65"/>
      <c r="I74" s="65"/>
      <c r="J74" s="65"/>
      <c r="K74" s="65"/>
      <c r="L74" s="65"/>
      <c r="M74" s="65"/>
      <c r="N74" s="65"/>
      <c r="O74" s="65"/>
      <c r="P74" s="66">
        <f t="shared" si="1"/>
        <v>0</v>
      </c>
    </row>
    <row r="75" spans="1:16">
      <c r="A75" s="3">
        <v>73</v>
      </c>
      <c r="B75" s="3" t="s">
        <v>1</v>
      </c>
      <c r="C75" s="3"/>
      <c r="D75" s="64"/>
      <c r="E75" s="64"/>
      <c r="F75" s="64"/>
      <c r="G75" s="64"/>
      <c r="H75" s="65"/>
      <c r="I75" s="65"/>
      <c r="J75" s="65"/>
      <c r="K75" s="65"/>
      <c r="L75" s="65"/>
      <c r="M75" s="65"/>
      <c r="N75" s="65"/>
      <c r="O75" s="65"/>
      <c r="P75" s="66">
        <f t="shared" si="1"/>
        <v>0</v>
      </c>
    </row>
    <row r="76" spans="1:16">
      <c r="A76" s="3">
        <v>74</v>
      </c>
      <c r="B76" s="3" t="s">
        <v>1</v>
      </c>
      <c r="C76" s="3"/>
      <c r="D76" s="64"/>
      <c r="E76" s="64"/>
      <c r="F76" s="64"/>
      <c r="G76" s="64"/>
      <c r="H76" s="65"/>
      <c r="I76" s="65"/>
      <c r="J76" s="65"/>
      <c r="K76" s="65"/>
      <c r="L76" s="65"/>
      <c r="M76" s="65"/>
      <c r="N76" s="65"/>
      <c r="O76" s="65"/>
      <c r="P76" s="66">
        <f t="shared" si="1"/>
        <v>0</v>
      </c>
    </row>
    <row r="77" spans="1:16">
      <c r="A77" s="3">
        <v>75</v>
      </c>
      <c r="B77" s="3" t="s">
        <v>1</v>
      </c>
      <c r="C77" s="3"/>
      <c r="D77" s="64"/>
      <c r="E77" s="64"/>
      <c r="F77" s="64"/>
      <c r="G77" s="64"/>
      <c r="H77" s="65"/>
      <c r="I77" s="65"/>
      <c r="J77" s="65"/>
      <c r="K77" s="65"/>
      <c r="L77" s="65"/>
      <c r="M77" s="65"/>
      <c r="N77" s="65"/>
      <c r="O77" s="65"/>
      <c r="P77" s="66">
        <f t="shared" si="1"/>
        <v>0</v>
      </c>
    </row>
    <row r="78" spans="1:16">
      <c r="A78" s="3">
        <v>76</v>
      </c>
      <c r="B78" s="3" t="s">
        <v>1</v>
      </c>
      <c r="C78" s="67"/>
      <c r="D78" s="68"/>
      <c r="E78" s="68"/>
      <c r="F78" s="68"/>
      <c r="G78" s="68"/>
      <c r="H78" s="65"/>
      <c r="I78" s="65"/>
      <c r="J78" s="65"/>
      <c r="K78" s="65"/>
      <c r="L78" s="65"/>
      <c r="M78" s="65"/>
      <c r="N78" s="65"/>
      <c r="O78" s="65"/>
      <c r="P78" s="66">
        <f t="shared" si="1"/>
        <v>0</v>
      </c>
    </row>
    <row r="79" spans="1:16">
      <c r="A79" s="3">
        <v>77</v>
      </c>
      <c r="B79" s="3" t="s">
        <v>1</v>
      </c>
      <c r="C79" s="3"/>
      <c r="D79" s="64"/>
      <c r="E79" s="64"/>
      <c r="F79" s="64"/>
      <c r="G79" s="64"/>
      <c r="H79" s="65"/>
      <c r="I79" s="65"/>
      <c r="J79" s="65"/>
      <c r="K79" s="65"/>
      <c r="L79" s="65"/>
      <c r="M79" s="65"/>
      <c r="N79" s="65"/>
      <c r="O79" s="65"/>
      <c r="P79" s="66">
        <f t="shared" si="1"/>
        <v>0</v>
      </c>
    </row>
    <row r="80" spans="1:16">
      <c r="A80" s="3">
        <v>78</v>
      </c>
      <c r="B80" s="3" t="s">
        <v>1</v>
      </c>
      <c r="C80" s="3"/>
      <c r="D80" s="64"/>
      <c r="E80" s="64"/>
      <c r="F80" s="64"/>
      <c r="G80" s="64"/>
      <c r="H80" s="65"/>
      <c r="I80" s="65"/>
      <c r="J80" s="65"/>
      <c r="K80" s="65"/>
      <c r="L80" s="65"/>
      <c r="M80" s="65"/>
      <c r="N80" s="65"/>
      <c r="O80" s="65"/>
      <c r="P80" s="66">
        <f t="shared" si="1"/>
        <v>0</v>
      </c>
    </row>
    <row r="81" spans="1:16">
      <c r="A81" s="67">
        <v>79</v>
      </c>
      <c r="B81" s="3" t="s">
        <v>1</v>
      </c>
      <c r="C81" s="3"/>
      <c r="D81" s="64"/>
      <c r="E81" s="64"/>
      <c r="F81" s="64"/>
      <c r="G81" s="64"/>
      <c r="H81" s="65"/>
      <c r="I81" s="65"/>
      <c r="J81" s="65"/>
      <c r="K81" s="65"/>
      <c r="L81" s="65"/>
      <c r="M81" s="65"/>
      <c r="N81" s="65"/>
      <c r="O81" s="65"/>
      <c r="P81" s="66">
        <f t="shared" si="1"/>
        <v>0</v>
      </c>
    </row>
    <row r="82" spans="1:16">
      <c r="A82" s="3">
        <v>80</v>
      </c>
      <c r="B82" s="3" t="s">
        <v>1</v>
      </c>
      <c r="C82" s="3"/>
      <c r="D82" s="64"/>
      <c r="E82" s="64"/>
      <c r="F82" s="64"/>
      <c r="G82" s="64"/>
      <c r="H82" s="65"/>
      <c r="I82" s="65"/>
      <c r="J82" s="65"/>
      <c r="K82" s="65"/>
      <c r="L82" s="65"/>
      <c r="M82" s="65"/>
      <c r="N82" s="65"/>
      <c r="O82" s="65"/>
      <c r="P82" s="66">
        <f t="shared" si="1"/>
        <v>0</v>
      </c>
    </row>
    <row r="83" spans="1:16">
      <c r="A83" s="3">
        <v>81</v>
      </c>
      <c r="B83" s="3" t="s">
        <v>1</v>
      </c>
      <c r="C83" s="3"/>
      <c r="D83" s="64"/>
      <c r="E83" s="64"/>
      <c r="F83" s="64"/>
      <c r="G83" s="64"/>
      <c r="H83" s="65"/>
      <c r="I83" s="65"/>
      <c r="J83" s="65"/>
      <c r="K83" s="65"/>
      <c r="L83" s="65"/>
      <c r="M83" s="65"/>
      <c r="N83" s="65"/>
      <c r="O83" s="65"/>
      <c r="P83" s="66">
        <f t="shared" si="1"/>
        <v>0</v>
      </c>
    </row>
    <row r="84" spans="1:16">
      <c r="A84" s="3">
        <v>82</v>
      </c>
      <c r="B84" s="3" t="s">
        <v>1</v>
      </c>
      <c r="C84" s="3"/>
      <c r="D84" s="64"/>
      <c r="E84" s="64"/>
      <c r="F84" s="64"/>
      <c r="G84" s="64"/>
      <c r="H84" s="65"/>
      <c r="I84" s="65"/>
      <c r="J84" s="65"/>
      <c r="K84" s="65"/>
      <c r="L84" s="65"/>
      <c r="M84" s="65"/>
      <c r="N84" s="65"/>
      <c r="O84" s="65"/>
      <c r="P84" s="66">
        <f t="shared" si="1"/>
        <v>0</v>
      </c>
    </row>
    <row r="85" spans="1:16">
      <c r="A85" s="3">
        <v>83</v>
      </c>
      <c r="B85" s="3" t="s">
        <v>1</v>
      </c>
      <c r="C85" s="3"/>
      <c r="D85" s="64"/>
      <c r="E85" s="64"/>
      <c r="F85" s="64"/>
      <c r="G85" s="64"/>
      <c r="H85" s="65"/>
      <c r="I85" s="65"/>
      <c r="J85" s="65"/>
      <c r="K85" s="65"/>
      <c r="L85" s="65"/>
      <c r="M85" s="65"/>
      <c r="N85" s="65"/>
      <c r="O85" s="65"/>
      <c r="P85" s="66">
        <f t="shared" si="1"/>
        <v>0</v>
      </c>
    </row>
    <row r="86" spans="1:16">
      <c r="A86" s="3">
        <v>84</v>
      </c>
      <c r="B86" s="3" t="s">
        <v>1</v>
      </c>
      <c r="C86" s="3"/>
      <c r="D86" s="64"/>
      <c r="E86" s="64"/>
      <c r="F86" s="64"/>
      <c r="G86" s="64"/>
      <c r="H86" s="65"/>
      <c r="I86" s="65"/>
      <c r="J86" s="65"/>
      <c r="K86" s="65"/>
      <c r="L86" s="65"/>
      <c r="M86" s="65"/>
      <c r="N86" s="65"/>
      <c r="O86" s="65"/>
      <c r="P86" s="66">
        <f t="shared" si="1"/>
        <v>0</v>
      </c>
    </row>
    <row r="87" spans="1:16">
      <c r="A87" s="3">
        <v>85</v>
      </c>
      <c r="B87" s="3" t="s">
        <v>1</v>
      </c>
      <c r="C87" s="3"/>
      <c r="D87" s="64"/>
      <c r="E87" s="64"/>
      <c r="F87" s="64"/>
      <c r="G87" s="64"/>
      <c r="H87" s="65"/>
      <c r="I87" s="65"/>
      <c r="J87" s="65"/>
      <c r="K87" s="65"/>
      <c r="L87" s="65"/>
      <c r="M87" s="65"/>
      <c r="N87" s="65"/>
      <c r="O87" s="65"/>
      <c r="P87" s="66">
        <f t="shared" si="1"/>
        <v>0</v>
      </c>
    </row>
    <row r="88" spans="1:16">
      <c r="A88" s="3">
        <v>86</v>
      </c>
      <c r="B88" s="3" t="s">
        <v>1</v>
      </c>
      <c r="C88" s="3"/>
      <c r="D88" s="64"/>
      <c r="E88" s="64"/>
      <c r="F88" s="64"/>
      <c r="G88" s="64"/>
      <c r="H88" s="65"/>
      <c r="I88" s="65"/>
      <c r="J88" s="65"/>
      <c r="K88" s="65"/>
      <c r="L88" s="65"/>
      <c r="M88" s="65"/>
      <c r="N88" s="65"/>
      <c r="O88" s="65"/>
      <c r="P88" s="66">
        <f t="shared" si="1"/>
        <v>0</v>
      </c>
    </row>
    <row r="89" spans="1:16">
      <c r="A89" s="3">
        <v>87</v>
      </c>
      <c r="B89" s="3" t="s">
        <v>1</v>
      </c>
      <c r="C89" s="3"/>
      <c r="D89" s="64"/>
      <c r="E89" s="64"/>
      <c r="F89" s="64"/>
      <c r="G89" s="64"/>
      <c r="H89" s="65"/>
      <c r="I89" s="65"/>
      <c r="J89" s="65"/>
      <c r="K89" s="65"/>
      <c r="L89" s="65"/>
      <c r="M89" s="65"/>
      <c r="N89" s="65"/>
      <c r="O89" s="65"/>
      <c r="P89" s="66">
        <f t="shared" si="1"/>
        <v>0</v>
      </c>
    </row>
    <row r="90" spans="1:16">
      <c r="A90" s="3">
        <v>88</v>
      </c>
      <c r="B90" s="3" t="s">
        <v>1</v>
      </c>
      <c r="C90" s="3"/>
      <c r="D90" s="64"/>
      <c r="E90" s="64"/>
      <c r="F90" s="64"/>
      <c r="G90" s="64"/>
      <c r="H90" s="65"/>
      <c r="I90" s="65"/>
      <c r="J90" s="65"/>
      <c r="K90" s="65"/>
      <c r="L90" s="65"/>
      <c r="M90" s="65"/>
      <c r="N90" s="65"/>
      <c r="O90" s="65"/>
      <c r="P90" s="66">
        <f t="shared" si="1"/>
        <v>0</v>
      </c>
    </row>
    <row r="91" spans="1:16">
      <c r="A91" s="3">
        <v>89</v>
      </c>
      <c r="B91" s="3" t="s">
        <v>1</v>
      </c>
      <c r="C91" s="3"/>
      <c r="D91" s="64"/>
      <c r="E91" s="64"/>
      <c r="F91" s="64"/>
      <c r="G91" s="64"/>
      <c r="H91" s="65"/>
      <c r="I91" s="65"/>
      <c r="J91" s="65"/>
      <c r="K91" s="65"/>
      <c r="L91" s="65"/>
      <c r="M91" s="65"/>
      <c r="N91" s="65"/>
      <c r="O91" s="65"/>
      <c r="P91" s="66">
        <f t="shared" si="1"/>
        <v>0</v>
      </c>
    </row>
    <row r="92" spans="1:16">
      <c r="A92" s="3">
        <v>90</v>
      </c>
      <c r="B92" s="3" t="s">
        <v>1</v>
      </c>
      <c r="C92" s="3"/>
      <c r="D92" s="64"/>
      <c r="E92" s="64"/>
      <c r="F92" s="64"/>
      <c r="G92" s="64"/>
      <c r="H92" s="65"/>
      <c r="I92" s="65"/>
      <c r="J92" s="65"/>
      <c r="K92" s="65"/>
      <c r="L92" s="65"/>
      <c r="M92" s="65"/>
      <c r="N92" s="65"/>
      <c r="O92" s="65"/>
      <c r="P92" s="66">
        <f t="shared" si="1"/>
        <v>0</v>
      </c>
    </row>
    <row r="93" spans="1:16">
      <c r="A93" s="3">
        <v>91</v>
      </c>
      <c r="B93" s="3" t="s">
        <v>1</v>
      </c>
      <c r="C93" s="3"/>
      <c r="D93" s="64"/>
      <c r="E93" s="64"/>
      <c r="F93" s="64"/>
      <c r="G93" s="64"/>
      <c r="H93" s="65"/>
      <c r="I93" s="65"/>
      <c r="J93" s="65"/>
      <c r="K93" s="65"/>
      <c r="L93" s="65"/>
      <c r="M93" s="65"/>
      <c r="N93" s="65"/>
      <c r="O93" s="65"/>
      <c r="P93" s="66">
        <f t="shared" si="1"/>
        <v>0</v>
      </c>
    </row>
    <row r="94" spans="1:16">
      <c r="A94" s="3">
        <v>92</v>
      </c>
      <c r="B94" s="3" t="s">
        <v>1</v>
      </c>
      <c r="C94" s="3"/>
      <c r="D94" s="64"/>
      <c r="E94" s="64"/>
      <c r="F94" s="64"/>
      <c r="G94" s="64"/>
      <c r="H94" s="65"/>
      <c r="I94" s="65"/>
      <c r="J94" s="65"/>
      <c r="K94" s="65"/>
      <c r="L94" s="65"/>
      <c r="M94" s="65"/>
      <c r="N94" s="65"/>
      <c r="O94" s="65"/>
      <c r="P94" s="66">
        <f t="shared" si="1"/>
        <v>0</v>
      </c>
    </row>
    <row r="95" spans="1:16">
      <c r="A95" s="3">
        <v>93</v>
      </c>
      <c r="B95" s="3" t="s">
        <v>1</v>
      </c>
      <c r="C95" s="3"/>
      <c r="D95" s="64"/>
      <c r="E95" s="64"/>
      <c r="F95" s="64"/>
      <c r="G95" s="64"/>
      <c r="H95" s="65"/>
      <c r="I95" s="65"/>
      <c r="J95" s="65"/>
      <c r="K95" s="65"/>
      <c r="L95" s="65"/>
      <c r="M95" s="65"/>
      <c r="N95" s="65"/>
      <c r="O95" s="65"/>
      <c r="P95" s="66">
        <f t="shared" si="1"/>
        <v>0</v>
      </c>
    </row>
    <row r="96" spans="1:16">
      <c r="A96" s="3">
        <v>94</v>
      </c>
      <c r="B96" s="3" t="s">
        <v>1</v>
      </c>
      <c r="C96" s="3"/>
      <c r="D96" s="64"/>
      <c r="E96" s="64"/>
      <c r="F96" s="64"/>
      <c r="G96" s="64"/>
      <c r="H96" s="65"/>
      <c r="I96" s="65"/>
      <c r="J96" s="65"/>
      <c r="K96" s="65"/>
      <c r="L96" s="65"/>
      <c r="M96" s="65"/>
      <c r="N96" s="65"/>
      <c r="O96" s="65"/>
      <c r="P96" s="66">
        <f t="shared" si="1"/>
        <v>0</v>
      </c>
    </row>
    <row r="97" spans="1:16">
      <c r="A97" s="3">
        <v>95</v>
      </c>
      <c r="B97" s="3" t="s">
        <v>1</v>
      </c>
      <c r="C97" s="3"/>
      <c r="D97" s="64"/>
      <c r="E97" s="64"/>
      <c r="F97" s="64"/>
      <c r="G97" s="64"/>
      <c r="H97" s="65"/>
      <c r="I97" s="65"/>
      <c r="J97" s="65"/>
      <c r="K97" s="65"/>
      <c r="L97" s="65"/>
      <c r="M97" s="65"/>
      <c r="N97" s="65"/>
      <c r="O97" s="65"/>
      <c r="P97" s="66">
        <f t="shared" si="1"/>
        <v>0</v>
      </c>
    </row>
    <row r="98" spans="1:16">
      <c r="D98" s="59"/>
      <c r="E98" s="59"/>
      <c r="F98" s="59"/>
      <c r="G98" s="59"/>
      <c r="H98" s="59"/>
      <c r="I98" s="59"/>
      <c r="J98" s="59"/>
      <c r="K98" s="59"/>
      <c r="L98" s="59"/>
      <c r="M98" s="59"/>
      <c r="N98" s="59"/>
      <c r="O98" s="59"/>
    </row>
    <row r="99" spans="1:16">
      <c r="D99" s="59"/>
      <c r="E99" s="59"/>
      <c r="F99" s="59"/>
      <c r="G99" s="59"/>
      <c r="H99" s="59"/>
      <c r="I99" s="59"/>
      <c r="J99" s="59"/>
      <c r="K99" s="59"/>
      <c r="L99" s="59"/>
      <c r="M99" s="59"/>
      <c r="N99" s="59"/>
      <c r="O99" s="59"/>
    </row>
    <row r="100" spans="1:16">
      <c r="D100" s="59"/>
      <c r="E100" s="59"/>
      <c r="F100" s="59"/>
      <c r="G100" s="59"/>
      <c r="H100" s="59"/>
      <c r="I100" s="59"/>
      <c r="J100" s="59"/>
      <c r="K100" s="59"/>
      <c r="L100" s="59"/>
      <c r="M100" s="59"/>
      <c r="N100" s="59"/>
      <c r="O100" s="59"/>
    </row>
    <row r="101" spans="1:16">
      <c r="D101" s="59"/>
      <c r="E101" s="59"/>
      <c r="F101" s="59"/>
      <c r="G101" s="59"/>
      <c r="H101" s="59"/>
      <c r="I101" s="59"/>
      <c r="J101" s="59"/>
      <c r="K101" s="59"/>
      <c r="L101" s="59"/>
      <c r="M101" s="59"/>
      <c r="N101" s="59"/>
      <c r="O101" s="59"/>
    </row>
    <row r="102" spans="1:16">
      <c r="D102" s="59"/>
      <c r="E102" s="59"/>
      <c r="F102" s="59"/>
      <c r="G102" s="59"/>
      <c r="H102" s="59"/>
      <c r="I102" s="59"/>
      <c r="J102" s="59"/>
      <c r="K102" s="59"/>
      <c r="L102" s="59"/>
      <c r="M102" s="59"/>
      <c r="N102" s="59"/>
      <c r="O102" s="59"/>
    </row>
    <row r="103" spans="1:16">
      <c r="D103" s="59"/>
      <c r="E103" s="59"/>
      <c r="F103" s="59"/>
      <c r="G103" s="59"/>
      <c r="H103" s="59"/>
      <c r="I103" s="59"/>
      <c r="J103" s="59"/>
      <c r="K103" s="59"/>
      <c r="L103" s="59"/>
      <c r="M103" s="59"/>
      <c r="N103" s="59"/>
      <c r="O103" s="59"/>
    </row>
    <row r="104" spans="1:16">
      <c r="D104" s="59"/>
      <c r="E104" s="59"/>
      <c r="F104" s="59"/>
      <c r="G104" s="59"/>
      <c r="H104" s="59"/>
      <c r="I104" s="59"/>
      <c r="J104" s="59"/>
      <c r="K104" s="59"/>
      <c r="L104" s="59"/>
      <c r="M104" s="59"/>
      <c r="N104" s="59"/>
      <c r="O104" s="59"/>
    </row>
    <row r="105" spans="1:16">
      <c r="D105" s="59"/>
      <c r="E105" s="59"/>
      <c r="F105" s="59"/>
      <c r="G105" s="59"/>
      <c r="H105" s="59"/>
      <c r="I105" s="59"/>
      <c r="J105" s="59"/>
      <c r="K105" s="59"/>
      <c r="L105" s="59"/>
      <c r="M105" s="59"/>
      <c r="N105" s="59"/>
      <c r="O105" s="59"/>
    </row>
    <row r="106" spans="1:16">
      <c r="D106" s="59"/>
      <c r="E106" s="59"/>
      <c r="F106" s="59"/>
      <c r="G106" s="59"/>
      <c r="H106" s="59"/>
      <c r="I106" s="59"/>
      <c r="J106" s="59"/>
      <c r="K106" s="59"/>
      <c r="L106" s="59"/>
      <c r="M106" s="59"/>
      <c r="N106" s="59"/>
      <c r="O106" s="59"/>
    </row>
    <row r="107" spans="1:16">
      <c r="D107" s="59"/>
      <c r="E107" s="59"/>
      <c r="F107" s="59"/>
      <c r="G107" s="59"/>
      <c r="H107" s="59"/>
      <c r="I107" s="59"/>
      <c r="J107" s="59"/>
      <c r="K107" s="59"/>
      <c r="L107" s="59"/>
      <c r="M107" s="59"/>
      <c r="N107" s="59"/>
      <c r="O107" s="59"/>
    </row>
    <row r="108" spans="1:16">
      <c r="D108" s="59"/>
      <c r="E108" s="59"/>
      <c r="F108" s="59"/>
      <c r="G108" s="59"/>
      <c r="H108" s="59"/>
      <c r="I108" s="59"/>
      <c r="J108" s="59"/>
      <c r="K108" s="59"/>
      <c r="L108" s="59"/>
      <c r="M108" s="59"/>
      <c r="N108" s="59"/>
      <c r="O108" s="59"/>
    </row>
    <row r="109" spans="1:16">
      <c r="D109" s="59"/>
      <c r="E109" s="59"/>
      <c r="F109" s="59"/>
      <c r="G109" s="59"/>
      <c r="H109" s="59"/>
      <c r="I109" s="59"/>
      <c r="J109" s="59"/>
      <c r="K109" s="59"/>
      <c r="L109" s="59"/>
      <c r="M109" s="59"/>
      <c r="N109" s="59"/>
      <c r="O109" s="59"/>
    </row>
    <row r="110" spans="1:16">
      <c r="D110" s="59"/>
      <c r="E110" s="59"/>
      <c r="F110" s="59"/>
      <c r="G110" s="59"/>
      <c r="H110" s="59"/>
      <c r="I110" s="59"/>
      <c r="J110" s="59"/>
      <c r="K110" s="59"/>
      <c r="L110" s="59"/>
      <c r="M110" s="59"/>
      <c r="N110" s="59"/>
      <c r="O110" s="59"/>
    </row>
    <row r="111" spans="1:16">
      <c r="D111" s="59"/>
      <c r="E111" s="59"/>
      <c r="F111" s="59"/>
      <c r="G111" s="59"/>
      <c r="H111" s="59"/>
      <c r="I111" s="59"/>
      <c r="J111" s="59"/>
      <c r="K111" s="59"/>
      <c r="L111" s="59"/>
      <c r="M111" s="59"/>
      <c r="N111" s="59"/>
      <c r="O111" s="59"/>
    </row>
    <row r="112" spans="1:16">
      <c r="D112" s="59"/>
      <c r="E112" s="59"/>
      <c r="F112" s="59"/>
      <c r="G112" s="59"/>
      <c r="H112" s="59"/>
      <c r="I112" s="59"/>
      <c r="J112" s="59"/>
      <c r="K112" s="59"/>
      <c r="L112" s="59"/>
      <c r="M112" s="59"/>
      <c r="N112" s="59"/>
      <c r="O112" s="59"/>
    </row>
    <row r="113" s="59" customFormat="1"/>
    <row r="114" s="59" customFormat="1"/>
    <row r="115" s="59" customFormat="1"/>
    <row r="116" s="59" customFormat="1"/>
    <row r="117" s="59" customFormat="1"/>
    <row r="118" s="59" customFormat="1"/>
    <row r="119" s="59" customFormat="1"/>
    <row r="120" s="59" customFormat="1"/>
    <row r="121" s="59" customFormat="1"/>
    <row r="122" s="59" customFormat="1"/>
    <row r="123" s="59" customFormat="1"/>
    <row r="124" s="59" customFormat="1"/>
    <row r="125" s="59" customFormat="1"/>
    <row r="126" s="59" customFormat="1"/>
    <row r="127" s="59" customFormat="1"/>
    <row r="128" s="59" customFormat="1"/>
    <row r="129" s="59" customFormat="1"/>
    <row r="130" s="59" customFormat="1"/>
    <row r="131" s="59" customFormat="1"/>
    <row r="132" s="59" customFormat="1"/>
    <row r="133" s="59" customFormat="1"/>
    <row r="134" s="59" customFormat="1"/>
    <row r="135" s="59" customFormat="1"/>
    <row r="136" s="59" customFormat="1"/>
    <row r="137" s="59" customFormat="1"/>
    <row r="138" s="59" customFormat="1"/>
    <row r="139" s="59" customFormat="1"/>
    <row r="140" s="59" customFormat="1"/>
    <row r="141" s="59" customFormat="1"/>
    <row r="142" s="59" customFormat="1"/>
    <row r="143" s="59" customFormat="1"/>
    <row r="144" s="59" customFormat="1"/>
    <row r="145" s="59" customFormat="1"/>
    <row r="146" s="59" customFormat="1"/>
    <row r="147" s="59" customFormat="1"/>
    <row r="148" s="59" customFormat="1"/>
    <row r="149" s="59" customFormat="1"/>
    <row r="150" s="59" customFormat="1"/>
    <row r="151" s="59" customFormat="1"/>
    <row r="152" s="59" customFormat="1"/>
    <row r="153" s="59" customFormat="1"/>
    <row r="154" s="59" customFormat="1"/>
    <row r="155" s="59" customFormat="1"/>
    <row r="156" s="59" customFormat="1"/>
    <row r="157" s="59" customFormat="1"/>
    <row r="158" s="59" customFormat="1"/>
    <row r="159" s="59" customFormat="1"/>
    <row r="160" s="59" customFormat="1"/>
    <row r="161" s="59" customFormat="1"/>
    <row r="162" s="59" customFormat="1"/>
    <row r="163" s="59" customFormat="1"/>
    <row r="164" s="59" customFormat="1"/>
    <row r="165" s="59" customFormat="1"/>
    <row r="166" s="59" customFormat="1"/>
    <row r="167" s="59" customFormat="1"/>
    <row r="168" s="59" customFormat="1"/>
    <row r="169" s="59" customFormat="1"/>
    <row r="170" s="59" customFormat="1"/>
    <row r="171" s="59" customFormat="1"/>
    <row r="172" s="59" customFormat="1"/>
    <row r="173" s="59" customFormat="1"/>
    <row r="174" s="59" customFormat="1"/>
    <row r="175" s="59" customFormat="1"/>
    <row r="176" s="59" customFormat="1"/>
    <row r="177" s="59" customFormat="1"/>
    <row r="178" s="59" customFormat="1"/>
    <row r="179" s="59" customFormat="1"/>
    <row r="180" s="59" customFormat="1"/>
    <row r="181" s="59" customFormat="1"/>
    <row r="182" s="59" customFormat="1"/>
    <row r="183" s="59" customFormat="1"/>
    <row r="184" s="59" customFormat="1"/>
    <row r="185" s="59" customFormat="1"/>
    <row r="186" s="59" customFormat="1"/>
    <row r="187" s="59" customFormat="1"/>
    <row r="188" s="59" customFormat="1"/>
    <row r="189" s="59" customFormat="1"/>
    <row r="190" s="59" customFormat="1"/>
    <row r="191" s="59" customFormat="1"/>
    <row r="192" s="59" customFormat="1"/>
    <row r="193" s="59" customFormat="1"/>
    <row r="194" s="59" customFormat="1"/>
    <row r="195" s="59" customFormat="1"/>
    <row r="196" s="59" customFormat="1"/>
    <row r="197" s="59" customFormat="1"/>
    <row r="198" s="59" customFormat="1"/>
    <row r="199" s="59" customFormat="1"/>
    <row r="200" s="59" customFormat="1"/>
    <row r="201" s="59" customFormat="1"/>
    <row r="202" s="59" customFormat="1"/>
    <row r="203" s="59" customFormat="1"/>
    <row r="204" s="59" customFormat="1"/>
    <row r="205" s="59" customFormat="1"/>
    <row r="206" s="59" customFormat="1"/>
    <row r="207" s="59" customFormat="1"/>
    <row r="208" s="59" customFormat="1"/>
    <row r="209" s="59" customFormat="1"/>
    <row r="210" s="59" customFormat="1"/>
    <row r="211" s="59" customFormat="1"/>
    <row r="212" s="59" customFormat="1"/>
    <row r="213" s="59" customFormat="1"/>
    <row r="214" s="59" customFormat="1"/>
    <row r="215" s="59" customFormat="1"/>
    <row r="216" s="59" customFormat="1"/>
    <row r="217" s="59" customFormat="1"/>
    <row r="218" s="59" customFormat="1"/>
    <row r="219" s="59" customFormat="1"/>
    <row r="220" s="59" customFormat="1"/>
    <row r="221" s="59" customFormat="1"/>
    <row r="222" s="59" customFormat="1"/>
    <row r="223" s="59" customFormat="1"/>
    <row r="224" s="59" customFormat="1"/>
    <row r="225" s="59" customFormat="1"/>
    <row r="226" s="59" customFormat="1"/>
    <row r="227" s="59" customFormat="1"/>
    <row r="228" s="59" customFormat="1"/>
    <row r="229" s="59" customFormat="1"/>
    <row r="230" s="59" customFormat="1"/>
    <row r="231" s="59" customFormat="1"/>
    <row r="232" s="59" customFormat="1"/>
    <row r="233" s="59" customFormat="1"/>
    <row r="234" s="59" customFormat="1"/>
    <row r="235" s="59" customFormat="1"/>
    <row r="236" s="59" customFormat="1"/>
    <row r="237" s="59" customFormat="1"/>
    <row r="238" s="59" customFormat="1"/>
    <row r="239" s="59" customFormat="1"/>
    <row r="240" s="59" customFormat="1"/>
    <row r="241" s="59" customFormat="1"/>
    <row r="242" s="59" customFormat="1"/>
    <row r="243" s="59" customFormat="1"/>
    <row r="244" s="59" customFormat="1"/>
    <row r="245" s="59" customFormat="1"/>
    <row r="246" s="59" customFormat="1"/>
    <row r="247" s="59" customFormat="1"/>
    <row r="248" s="59" customFormat="1"/>
    <row r="249" s="59" customFormat="1"/>
    <row r="250" s="59" customFormat="1"/>
    <row r="251" s="59" customFormat="1"/>
    <row r="252" s="59" customFormat="1"/>
    <row r="253" s="59" customFormat="1"/>
    <row r="254" s="59" customFormat="1"/>
    <row r="255" s="59" customFormat="1"/>
    <row r="256" s="59" customFormat="1"/>
    <row r="257" s="59" customFormat="1"/>
    <row r="258" s="59" customFormat="1"/>
    <row r="259" s="59" customFormat="1"/>
    <row r="260" s="59" customFormat="1"/>
    <row r="261" s="59" customFormat="1"/>
    <row r="262" s="59" customFormat="1"/>
    <row r="263" s="59" customFormat="1"/>
    <row r="264" s="59" customFormat="1"/>
    <row r="265" s="59" customFormat="1"/>
    <row r="266" s="59" customFormat="1"/>
    <row r="267" s="59" customFormat="1"/>
    <row r="268" s="59" customFormat="1"/>
    <row r="269" s="59" customFormat="1"/>
    <row r="270" s="59" customFormat="1"/>
    <row r="271" s="59" customFormat="1"/>
    <row r="272" s="59" customFormat="1"/>
    <row r="273" s="59" customFormat="1"/>
    <row r="274" s="59" customFormat="1"/>
    <row r="275" s="59" customFormat="1"/>
    <row r="276" s="59" customFormat="1"/>
    <row r="277" s="59" customFormat="1"/>
    <row r="278" s="59" customFormat="1"/>
    <row r="279" s="59" customFormat="1"/>
    <row r="280" s="59" customFormat="1"/>
    <row r="281" s="59" customFormat="1"/>
    <row r="282" s="59" customFormat="1"/>
    <row r="283" s="59" customFormat="1"/>
    <row r="284" s="59" customFormat="1"/>
    <row r="285" s="59" customFormat="1"/>
    <row r="286" s="59" customFormat="1"/>
    <row r="287" s="59" customFormat="1"/>
    <row r="288" s="59" customFormat="1"/>
    <row r="289" s="59" customFormat="1"/>
    <row r="290" s="59" customFormat="1"/>
    <row r="291" s="59" customFormat="1"/>
    <row r="292" s="59" customFormat="1"/>
    <row r="293" s="59" customFormat="1"/>
    <row r="294" s="59" customFormat="1"/>
    <row r="295" s="59" customFormat="1"/>
    <row r="296" s="59" customFormat="1"/>
    <row r="297" s="59" customFormat="1"/>
    <row r="298" s="59" customFormat="1"/>
    <row r="299" s="59" customFormat="1"/>
    <row r="300" s="59" customFormat="1"/>
    <row r="301" s="59" customFormat="1"/>
    <row r="302" s="59" customFormat="1"/>
    <row r="303" s="59" customFormat="1"/>
    <row r="304" s="59" customFormat="1"/>
    <row r="305" s="59" customFormat="1"/>
    <row r="306" s="59" customFormat="1"/>
    <row r="307" s="59" customFormat="1"/>
    <row r="308" s="59" customFormat="1"/>
    <row r="309" s="59" customFormat="1"/>
    <row r="310" s="59" customFormat="1"/>
    <row r="311" s="59" customFormat="1"/>
    <row r="312" s="59" customFormat="1"/>
    <row r="313" s="59" customFormat="1"/>
    <row r="314" s="59" customFormat="1"/>
    <row r="315" s="59" customFormat="1"/>
    <row r="316" s="59" customFormat="1"/>
    <row r="317" s="59" customFormat="1"/>
    <row r="318" s="59" customFormat="1"/>
    <row r="319" s="59" customFormat="1"/>
    <row r="320" s="59" customFormat="1"/>
    <row r="321" s="59" customFormat="1"/>
    <row r="322" s="59" customFormat="1"/>
    <row r="323" s="59" customFormat="1"/>
    <row r="324" s="59" customFormat="1"/>
    <row r="325" s="59" customFormat="1"/>
    <row r="326" s="59" customFormat="1"/>
    <row r="327" s="59" customFormat="1"/>
    <row r="328" s="59" customFormat="1"/>
    <row r="329" s="59" customFormat="1"/>
    <row r="330" s="59" customFormat="1"/>
    <row r="331" s="59" customFormat="1"/>
    <row r="332" s="59" customFormat="1"/>
    <row r="333" s="59" customFormat="1"/>
    <row r="334" s="59" customFormat="1"/>
    <row r="335" s="59" customFormat="1"/>
    <row r="336" s="59" customFormat="1"/>
    <row r="337" s="59" customFormat="1"/>
    <row r="338" s="59" customFormat="1"/>
    <row r="339" s="59" customFormat="1"/>
    <row r="340" s="59" customFormat="1"/>
    <row r="341" s="59" customFormat="1"/>
    <row r="342" s="59" customFormat="1"/>
    <row r="343" s="59" customFormat="1"/>
    <row r="344" s="59" customFormat="1"/>
    <row r="345" s="59" customFormat="1"/>
    <row r="346" s="59" customFormat="1"/>
    <row r="347" s="59" customFormat="1"/>
    <row r="348" s="59" customFormat="1"/>
    <row r="349" s="59" customFormat="1"/>
    <row r="350" s="59" customFormat="1"/>
    <row r="351" s="59" customFormat="1"/>
    <row r="352" s="59" customFormat="1"/>
    <row r="353" s="59" customFormat="1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819BB9-E1F5-44F1-B05F-95AD022C1FB1}">
  <dimension ref="A1:P353"/>
  <sheetViews>
    <sheetView zoomScale="85" zoomScaleNormal="85" workbookViewId="0">
      <selection activeCell="C3" sqref="C3:C97"/>
    </sheetView>
  </sheetViews>
  <sheetFormatPr defaultRowHeight="16"/>
  <cols>
    <col min="1" max="1" width="7.6328125" style="43" customWidth="1"/>
    <col min="2" max="2" width="9.36328125" style="43" customWidth="1"/>
    <col min="3" max="3" width="15.1796875" style="43" customWidth="1"/>
    <col min="4" max="15" width="8.7265625" style="43"/>
    <col min="16" max="16" width="9.1796875" style="59" bestFit="1" customWidth="1"/>
    <col min="17" max="16384" width="8.7265625" style="43"/>
  </cols>
  <sheetData>
    <row r="1" spans="1:16">
      <c r="A1" s="42" t="s">
        <v>303</v>
      </c>
    </row>
    <row r="2" spans="1:16" ht="24.5" customHeight="1">
      <c r="A2" s="55" t="s">
        <v>45</v>
      </c>
      <c r="B2" s="60" t="s">
        <v>5</v>
      </c>
      <c r="C2" s="55" t="s">
        <v>46</v>
      </c>
      <c r="D2" s="61" t="s">
        <v>42</v>
      </c>
      <c r="E2" s="62" t="s">
        <v>43</v>
      </c>
      <c r="F2" s="62" t="s">
        <v>47</v>
      </c>
      <c r="G2" s="62" t="s">
        <v>48</v>
      </c>
      <c r="H2" s="62" t="s">
        <v>144</v>
      </c>
      <c r="I2" s="62" t="s">
        <v>145</v>
      </c>
      <c r="J2" s="62" t="s">
        <v>146</v>
      </c>
      <c r="K2" s="62" t="s">
        <v>147</v>
      </c>
      <c r="L2" s="62" t="s">
        <v>148</v>
      </c>
      <c r="M2" s="62" t="s">
        <v>149</v>
      </c>
      <c r="N2" s="62" t="s">
        <v>150</v>
      </c>
      <c r="O2" s="62" t="s">
        <v>151</v>
      </c>
      <c r="P2" s="63" t="s">
        <v>0</v>
      </c>
    </row>
    <row r="3" spans="1:16" ht="19" customHeight="1">
      <c r="A3" s="3">
        <v>1</v>
      </c>
      <c r="B3" s="3" t="s">
        <v>3</v>
      </c>
      <c r="C3" s="3"/>
      <c r="D3" s="64"/>
      <c r="E3" s="64"/>
      <c r="F3" s="64"/>
      <c r="G3" s="64"/>
      <c r="H3" s="65"/>
      <c r="I3" s="65"/>
      <c r="J3" s="65"/>
      <c r="K3" s="65"/>
      <c r="L3" s="65"/>
      <c r="M3" s="65"/>
      <c r="N3" s="65"/>
      <c r="O3" s="65"/>
      <c r="P3" s="66">
        <f>SUM(D3:O3)</f>
        <v>0</v>
      </c>
    </row>
    <row r="4" spans="1:16">
      <c r="A4" s="3">
        <v>2</v>
      </c>
      <c r="B4" s="3" t="s">
        <v>3</v>
      </c>
      <c r="C4" s="3"/>
      <c r="D4" s="64"/>
      <c r="E4" s="64"/>
      <c r="F4" s="64"/>
      <c r="G4" s="64"/>
      <c r="H4" s="65"/>
      <c r="I4" s="65"/>
      <c r="J4" s="65"/>
      <c r="K4" s="65"/>
      <c r="L4" s="65"/>
      <c r="M4" s="65"/>
      <c r="N4" s="65"/>
      <c r="O4" s="65"/>
      <c r="P4" s="66">
        <f t="shared" ref="P4:P67" si="0">SUM(D4:O4)</f>
        <v>0</v>
      </c>
    </row>
    <row r="5" spans="1:16">
      <c r="A5" s="3">
        <v>3</v>
      </c>
      <c r="B5" s="3" t="s">
        <v>3</v>
      </c>
      <c r="C5" s="3"/>
      <c r="D5" s="64"/>
      <c r="E5" s="64"/>
      <c r="F5" s="64"/>
      <c r="G5" s="64"/>
      <c r="H5" s="65"/>
      <c r="I5" s="65"/>
      <c r="J5" s="65"/>
      <c r="K5" s="65"/>
      <c r="L5" s="65"/>
      <c r="M5" s="65"/>
      <c r="N5" s="65"/>
      <c r="O5" s="65"/>
      <c r="P5" s="66">
        <f t="shared" si="0"/>
        <v>0</v>
      </c>
    </row>
    <row r="6" spans="1:16">
      <c r="A6" s="3">
        <v>4</v>
      </c>
      <c r="B6" s="3" t="s">
        <v>3</v>
      </c>
      <c r="C6" s="3"/>
      <c r="D6" s="64"/>
      <c r="E6" s="64"/>
      <c r="F6" s="64"/>
      <c r="G6" s="64"/>
      <c r="H6" s="65"/>
      <c r="I6" s="65"/>
      <c r="J6" s="65"/>
      <c r="K6" s="65"/>
      <c r="L6" s="65"/>
      <c r="M6" s="65"/>
      <c r="N6" s="65"/>
      <c r="O6" s="65"/>
      <c r="P6" s="66">
        <f t="shared" si="0"/>
        <v>0</v>
      </c>
    </row>
    <row r="7" spans="1:16">
      <c r="A7" s="3">
        <v>5</v>
      </c>
      <c r="B7" s="3" t="s">
        <v>3</v>
      </c>
      <c r="C7" s="3"/>
      <c r="D7" s="64"/>
      <c r="E7" s="64"/>
      <c r="F7" s="64"/>
      <c r="G7" s="64"/>
      <c r="H7" s="65"/>
      <c r="I7" s="65"/>
      <c r="J7" s="65"/>
      <c r="K7" s="65"/>
      <c r="L7" s="65"/>
      <c r="M7" s="65"/>
      <c r="N7" s="65"/>
      <c r="O7" s="65"/>
      <c r="P7" s="66">
        <f t="shared" si="0"/>
        <v>0</v>
      </c>
    </row>
    <row r="8" spans="1:16">
      <c r="A8" s="3">
        <v>6</v>
      </c>
      <c r="B8" s="3" t="s">
        <v>3</v>
      </c>
      <c r="C8" s="3"/>
      <c r="D8" s="64"/>
      <c r="E8" s="64"/>
      <c r="F8" s="64"/>
      <c r="G8" s="64"/>
      <c r="H8" s="65"/>
      <c r="I8" s="65"/>
      <c r="J8" s="65"/>
      <c r="K8" s="65"/>
      <c r="L8" s="65"/>
      <c r="M8" s="65"/>
      <c r="N8" s="65"/>
      <c r="O8" s="65"/>
      <c r="P8" s="66">
        <f t="shared" si="0"/>
        <v>0</v>
      </c>
    </row>
    <row r="9" spans="1:16">
      <c r="A9" s="3">
        <v>7</v>
      </c>
      <c r="B9" s="3" t="s">
        <v>3</v>
      </c>
      <c r="C9" s="3"/>
      <c r="D9" s="64"/>
      <c r="E9" s="64"/>
      <c r="F9" s="64"/>
      <c r="G9" s="64"/>
      <c r="H9" s="65"/>
      <c r="I9" s="65"/>
      <c r="J9" s="65"/>
      <c r="K9" s="65"/>
      <c r="L9" s="65"/>
      <c r="M9" s="65"/>
      <c r="N9" s="65"/>
      <c r="O9" s="65"/>
      <c r="P9" s="66">
        <f t="shared" si="0"/>
        <v>0</v>
      </c>
    </row>
    <row r="10" spans="1:16">
      <c r="A10" s="3">
        <v>8</v>
      </c>
      <c r="B10" s="3" t="s">
        <v>3</v>
      </c>
      <c r="C10" s="3"/>
      <c r="D10" s="64"/>
      <c r="E10" s="64"/>
      <c r="F10" s="64"/>
      <c r="G10" s="64"/>
      <c r="H10" s="65"/>
      <c r="I10" s="65"/>
      <c r="J10" s="65"/>
      <c r="K10" s="65"/>
      <c r="L10" s="65"/>
      <c r="M10" s="65"/>
      <c r="N10" s="65"/>
      <c r="O10" s="65"/>
      <c r="P10" s="66">
        <f t="shared" si="0"/>
        <v>0</v>
      </c>
    </row>
    <row r="11" spans="1:16">
      <c r="A11" s="3">
        <v>9</v>
      </c>
      <c r="B11" s="3" t="s">
        <v>3</v>
      </c>
      <c r="C11" s="3"/>
      <c r="D11" s="64"/>
      <c r="E11" s="64"/>
      <c r="F11" s="64"/>
      <c r="G11" s="64"/>
      <c r="H11" s="65"/>
      <c r="I11" s="65"/>
      <c r="J11" s="65"/>
      <c r="K11" s="65"/>
      <c r="L11" s="65"/>
      <c r="M11" s="65"/>
      <c r="N11" s="65"/>
      <c r="O11" s="65"/>
      <c r="P11" s="66">
        <f t="shared" si="0"/>
        <v>0</v>
      </c>
    </row>
    <row r="12" spans="1:16">
      <c r="A12" s="3">
        <v>10</v>
      </c>
      <c r="B12" s="3" t="s">
        <v>3</v>
      </c>
      <c r="C12" s="3"/>
      <c r="D12" s="64"/>
      <c r="E12" s="64"/>
      <c r="F12" s="64"/>
      <c r="G12" s="64"/>
      <c r="H12" s="65"/>
      <c r="I12" s="65"/>
      <c r="J12" s="65"/>
      <c r="K12" s="65"/>
      <c r="L12" s="65"/>
      <c r="M12" s="65"/>
      <c r="N12" s="65"/>
      <c r="O12" s="65"/>
      <c r="P12" s="66">
        <f t="shared" si="0"/>
        <v>0</v>
      </c>
    </row>
    <row r="13" spans="1:16">
      <c r="A13" s="3">
        <v>11</v>
      </c>
      <c r="B13" s="3" t="s">
        <v>3</v>
      </c>
      <c r="C13" s="3"/>
      <c r="D13" s="64"/>
      <c r="E13" s="64"/>
      <c r="F13" s="64"/>
      <c r="G13" s="64"/>
      <c r="H13" s="65"/>
      <c r="I13" s="65"/>
      <c r="J13" s="65"/>
      <c r="K13" s="65"/>
      <c r="L13" s="65"/>
      <c r="M13" s="65"/>
      <c r="N13" s="65"/>
      <c r="O13" s="65"/>
      <c r="P13" s="66">
        <f t="shared" si="0"/>
        <v>0</v>
      </c>
    </row>
    <row r="14" spans="1:16">
      <c r="A14" s="3">
        <v>12</v>
      </c>
      <c r="B14" s="3" t="s">
        <v>3</v>
      </c>
      <c r="C14" s="3"/>
      <c r="D14" s="64"/>
      <c r="E14" s="64"/>
      <c r="F14" s="64"/>
      <c r="G14" s="64"/>
      <c r="H14" s="65"/>
      <c r="I14" s="65"/>
      <c r="J14" s="65"/>
      <c r="K14" s="65"/>
      <c r="L14" s="65"/>
      <c r="M14" s="65"/>
      <c r="N14" s="65"/>
      <c r="O14" s="65"/>
      <c r="P14" s="66">
        <f t="shared" si="0"/>
        <v>0</v>
      </c>
    </row>
    <row r="15" spans="1:16">
      <c r="A15" s="3">
        <v>13</v>
      </c>
      <c r="B15" s="3" t="s">
        <v>3</v>
      </c>
      <c r="C15" s="3"/>
      <c r="D15" s="64"/>
      <c r="E15" s="64"/>
      <c r="F15" s="64"/>
      <c r="G15" s="64"/>
      <c r="H15" s="65"/>
      <c r="I15" s="65"/>
      <c r="J15" s="65"/>
      <c r="K15" s="65"/>
      <c r="L15" s="65"/>
      <c r="M15" s="65"/>
      <c r="N15" s="65"/>
      <c r="O15" s="65"/>
      <c r="P15" s="66">
        <f t="shared" si="0"/>
        <v>0</v>
      </c>
    </row>
    <row r="16" spans="1:16">
      <c r="A16" s="3">
        <v>14</v>
      </c>
      <c r="B16" s="3" t="s">
        <v>3</v>
      </c>
      <c r="C16" s="3"/>
      <c r="D16" s="64"/>
      <c r="E16" s="64"/>
      <c r="F16" s="64"/>
      <c r="G16" s="64"/>
      <c r="H16" s="65"/>
      <c r="I16" s="65"/>
      <c r="J16" s="65"/>
      <c r="K16" s="65"/>
      <c r="L16" s="65"/>
      <c r="M16" s="65"/>
      <c r="N16" s="65"/>
      <c r="O16" s="65"/>
      <c r="P16" s="66">
        <f t="shared" si="0"/>
        <v>0</v>
      </c>
    </row>
    <row r="17" spans="1:16">
      <c r="A17" s="3">
        <v>15</v>
      </c>
      <c r="B17" s="3" t="s">
        <v>3</v>
      </c>
      <c r="C17" s="3"/>
      <c r="D17" s="64"/>
      <c r="E17" s="64"/>
      <c r="F17" s="64"/>
      <c r="G17" s="64"/>
      <c r="H17" s="65"/>
      <c r="I17" s="65"/>
      <c r="J17" s="65"/>
      <c r="K17" s="65"/>
      <c r="L17" s="65"/>
      <c r="M17" s="65"/>
      <c r="N17" s="65"/>
      <c r="O17" s="65"/>
      <c r="P17" s="66">
        <f t="shared" si="0"/>
        <v>0</v>
      </c>
    </row>
    <row r="18" spans="1:16">
      <c r="A18" s="3">
        <v>16</v>
      </c>
      <c r="B18" s="3" t="s">
        <v>3</v>
      </c>
      <c r="C18" s="3"/>
      <c r="D18" s="64"/>
      <c r="E18" s="64"/>
      <c r="F18" s="64"/>
      <c r="G18" s="64"/>
      <c r="H18" s="65"/>
      <c r="I18" s="65"/>
      <c r="J18" s="65"/>
      <c r="K18" s="65"/>
      <c r="L18" s="65"/>
      <c r="M18" s="65"/>
      <c r="N18" s="65"/>
      <c r="O18" s="65"/>
      <c r="P18" s="66">
        <f t="shared" si="0"/>
        <v>0</v>
      </c>
    </row>
    <row r="19" spans="1:16">
      <c r="A19" s="3">
        <v>17</v>
      </c>
      <c r="B19" s="3" t="s">
        <v>3</v>
      </c>
      <c r="C19" s="3"/>
      <c r="D19" s="64"/>
      <c r="E19" s="64"/>
      <c r="F19" s="64"/>
      <c r="G19" s="64"/>
      <c r="H19" s="65"/>
      <c r="I19" s="65"/>
      <c r="J19" s="65"/>
      <c r="K19" s="65"/>
      <c r="L19" s="65"/>
      <c r="M19" s="65"/>
      <c r="N19" s="65"/>
      <c r="O19" s="65"/>
      <c r="P19" s="66">
        <f t="shared" si="0"/>
        <v>0</v>
      </c>
    </row>
    <row r="20" spans="1:16">
      <c r="A20" s="3">
        <v>18</v>
      </c>
      <c r="B20" s="3" t="s">
        <v>3</v>
      </c>
      <c r="C20" s="3"/>
      <c r="D20" s="64"/>
      <c r="E20" s="64"/>
      <c r="F20" s="64"/>
      <c r="G20" s="64"/>
      <c r="H20" s="65"/>
      <c r="I20" s="65"/>
      <c r="J20" s="65"/>
      <c r="K20" s="65"/>
      <c r="L20" s="65"/>
      <c r="M20" s="65"/>
      <c r="N20" s="65"/>
      <c r="O20" s="65"/>
      <c r="P20" s="66">
        <f t="shared" si="0"/>
        <v>0</v>
      </c>
    </row>
    <row r="21" spans="1:16">
      <c r="A21" s="3">
        <v>19</v>
      </c>
      <c r="B21" s="3" t="s">
        <v>3</v>
      </c>
      <c r="C21" s="3"/>
      <c r="D21" s="64"/>
      <c r="E21" s="64"/>
      <c r="F21" s="64"/>
      <c r="G21" s="64"/>
      <c r="H21" s="65"/>
      <c r="I21" s="65"/>
      <c r="J21" s="65"/>
      <c r="K21" s="65"/>
      <c r="L21" s="65"/>
      <c r="M21" s="65"/>
      <c r="N21" s="65"/>
      <c r="O21" s="65"/>
      <c r="P21" s="66">
        <f t="shared" si="0"/>
        <v>0</v>
      </c>
    </row>
    <row r="22" spans="1:16">
      <c r="A22" s="3">
        <v>20</v>
      </c>
      <c r="B22" s="3" t="s">
        <v>3</v>
      </c>
      <c r="C22" s="3"/>
      <c r="D22" s="64"/>
      <c r="E22" s="64"/>
      <c r="F22" s="64"/>
      <c r="G22" s="64"/>
      <c r="H22" s="65"/>
      <c r="I22" s="65"/>
      <c r="J22" s="65"/>
      <c r="K22" s="65"/>
      <c r="L22" s="65"/>
      <c r="M22" s="65"/>
      <c r="N22" s="65"/>
      <c r="O22" s="65"/>
      <c r="P22" s="66">
        <f t="shared" si="0"/>
        <v>0</v>
      </c>
    </row>
    <row r="23" spans="1:16">
      <c r="A23" s="3">
        <v>21</v>
      </c>
      <c r="B23" s="3" t="s">
        <v>3</v>
      </c>
      <c r="C23" s="3"/>
      <c r="D23" s="64"/>
      <c r="E23" s="64"/>
      <c r="F23" s="64"/>
      <c r="G23" s="64"/>
      <c r="H23" s="65"/>
      <c r="I23" s="65"/>
      <c r="J23" s="65"/>
      <c r="K23" s="65"/>
      <c r="L23" s="65"/>
      <c r="M23" s="65"/>
      <c r="N23" s="65"/>
      <c r="O23" s="65"/>
      <c r="P23" s="66">
        <f t="shared" si="0"/>
        <v>0</v>
      </c>
    </row>
    <row r="24" spans="1:16">
      <c r="A24" s="3">
        <v>22</v>
      </c>
      <c r="B24" s="3" t="s">
        <v>3</v>
      </c>
      <c r="C24" s="3"/>
      <c r="D24" s="64"/>
      <c r="E24" s="64"/>
      <c r="F24" s="64"/>
      <c r="G24" s="64"/>
      <c r="H24" s="65"/>
      <c r="I24" s="65"/>
      <c r="J24" s="65"/>
      <c r="K24" s="65"/>
      <c r="L24" s="65"/>
      <c r="M24" s="65"/>
      <c r="N24" s="65"/>
      <c r="O24" s="65"/>
      <c r="P24" s="66">
        <f t="shared" si="0"/>
        <v>0</v>
      </c>
    </row>
    <row r="25" spans="1:16">
      <c r="A25" s="3">
        <v>23</v>
      </c>
      <c r="B25" s="3" t="s">
        <v>3</v>
      </c>
      <c r="C25" s="3"/>
      <c r="D25" s="64"/>
      <c r="E25" s="64"/>
      <c r="F25" s="64"/>
      <c r="G25" s="64"/>
      <c r="H25" s="65"/>
      <c r="I25" s="65"/>
      <c r="J25" s="65"/>
      <c r="K25" s="65"/>
      <c r="L25" s="65"/>
      <c r="M25" s="65"/>
      <c r="N25" s="65"/>
      <c r="O25" s="65"/>
      <c r="P25" s="66">
        <f t="shared" si="0"/>
        <v>0</v>
      </c>
    </row>
    <row r="26" spans="1:16">
      <c r="A26" s="3">
        <v>24</v>
      </c>
      <c r="B26" s="3" t="s">
        <v>3</v>
      </c>
      <c r="C26" s="3"/>
      <c r="D26" s="64"/>
      <c r="E26" s="64"/>
      <c r="F26" s="64"/>
      <c r="G26" s="64"/>
      <c r="H26" s="65"/>
      <c r="I26" s="65"/>
      <c r="J26" s="65"/>
      <c r="K26" s="65"/>
      <c r="L26" s="65"/>
      <c r="M26" s="65"/>
      <c r="N26" s="65"/>
      <c r="O26" s="65"/>
      <c r="P26" s="66">
        <f t="shared" si="0"/>
        <v>0</v>
      </c>
    </row>
    <row r="27" spans="1:16">
      <c r="A27" s="3">
        <v>25</v>
      </c>
      <c r="B27" s="3" t="s">
        <v>3</v>
      </c>
      <c r="C27" s="3"/>
      <c r="D27" s="64"/>
      <c r="E27" s="64"/>
      <c r="F27" s="64"/>
      <c r="G27" s="64"/>
      <c r="H27" s="65"/>
      <c r="I27" s="65"/>
      <c r="J27" s="65"/>
      <c r="K27" s="65"/>
      <c r="L27" s="65"/>
      <c r="M27" s="65"/>
      <c r="N27" s="65"/>
      <c r="O27" s="65"/>
      <c r="P27" s="66">
        <f t="shared" si="0"/>
        <v>0</v>
      </c>
    </row>
    <row r="28" spans="1:16">
      <c r="A28" s="3">
        <v>26</v>
      </c>
      <c r="B28" s="3" t="s">
        <v>3</v>
      </c>
      <c r="C28" s="3"/>
      <c r="D28" s="64"/>
      <c r="E28" s="64"/>
      <c r="F28" s="64"/>
      <c r="G28" s="64"/>
      <c r="H28" s="65"/>
      <c r="I28" s="65"/>
      <c r="J28" s="65"/>
      <c r="K28" s="65"/>
      <c r="L28" s="65"/>
      <c r="M28" s="65"/>
      <c r="N28" s="65"/>
      <c r="O28" s="65"/>
      <c r="P28" s="66">
        <f t="shared" si="0"/>
        <v>0</v>
      </c>
    </row>
    <row r="29" spans="1:16">
      <c r="A29" s="3">
        <v>27</v>
      </c>
      <c r="B29" s="3" t="s">
        <v>3</v>
      </c>
      <c r="C29" s="3"/>
      <c r="D29" s="64"/>
      <c r="E29" s="64"/>
      <c r="F29" s="64"/>
      <c r="G29" s="64"/>
      <c r="H29" s="65"/>
      <c r="I29" s="65"/>
      <c r="J29" s="65"/>
      <c r="K29" s="65"/>
      <c r="L29" s="65"/>
      <c r="M29" s="65"/>
      <c r="N29" s="65"/>
      <c r="O29" s="65"/>
      <c r="P29" s="66">
        <f t="shared" si="0"/>
        <v>0</v>
      </c>
    </row>
    <row r="30" spans="1:16">
      <c r="A30" s="3">
        <v>28</v>
      </c>
      <c r="B30" s="3" t="s">
        <v>3</v>
      </c>
      <c r="C30" s="3"/>
      <c r="D30" s="64"/>
      <c r="E30" s="64"/>
      <c r="F30" s="64"/>
      <c r="G30" s="64"/>
      <c r="H30" s="65"/>
      <c r="I30" s="65"/>
      <c r="J30" s="65"/>
      <c r="K30" s="65"/>
      <c r="L30" s="65"/>
      <c r="M30" s="65"/>
      <c r="N30" s="65"/>
      <c r="O30" s="65"/>
      <c r="P30" s="66">
        <f t="shared" si="0"/>
        <v>0</v>
      </c>
    </row>
    <row r="31" spans="1:16">
      <c r="A31" s="3">
        <v>29</v>
      </c>
      <c r="B31" s="3" t="s">
        <v>3</v>
      </c>
      <c r="C31" s="3"/>
      <c r="D31" s="64"/>
      <c r="E31" s="64"/>
      <c r="F31" s="64"/>
      <c r="G31" s="64"/>
      <c r="H31" s="65"/>
      <c r="I31" s="65"/>
      <c r="J31" s="65"/>
      <c r="K31" s="65"/>
      <c r="L31" s="65"/>
      <c r="M31" s="65"/>
      <c r="N31" s="65"/>
      <c r="O31" s="65"/>
      <c r="P31" s="66">
        <f t="shared" si="0"/>
        <v>0</v>
      </c>
    </row>
    <row r="32" spans="1:16">
      <c r="A32" s="3">
        <v>30</v>
      </c>
      <c r="B32" s="3" t="s">
        <v>3</v>
      </c>
      <c r="C32" s="3"/>
      <c r="D32" s="64"/>
      <c r="E32" s="64"/>
      <c r="F32" s="64"/>
      <c r="G32" s="64"/>
      <c r="H32" s="65"/>
      <c r="I32" s="65"/>
      <c r="J32" s="65"/>
      <c r="K32" s="65"/>
      <c r="L32" s="65"/>
      <c r="M32" s="65"/>
      <c r="N32" s="65"/>
      <c r="O32" s="65"/>
      <c r="P32" s="66">
        <f t="shared" si="0"/>
        <v>0</v>
      </c>
    </row>
    <row r="33" spans="1:16">
      <c r="A33" s="3">
        <v>31</v>
      </c>
      <c r="B33" s="3" t="s">
        <v>3</v>
      </c>
      <c r="C33" s="3"/>
      <c r="D33" s="64"/>
      <c r="E33" s="64"/>
      <c r="F33" s="64"/>
      <c r="G33" s="64"/>
      <c r="H33" s="65"/>
      <c r="I33" s="65"/>
      <c r="J33" s="65"/>
      <c r="K33" s="65"/>
      <c r="L33" s="65"/>
      <c r="M33" s="65"/>
      <c r="N33" s="65"/>
      <c r="O33" s="65"/>
      <c r="P33" s="66">
        <f t="shared" si="0"/>
        <v>0</v>
      </c>
    </row>
    <row r="34" spans="1:16">
      <c r="A34" s="3">
        <v>32</v>
      </c>
      <c r="B34" s="3" t="s">
        <v>3</v>
      </c>
      <c r="C34" s="3"/>
      <c r="D34" s="64"/>
      <c r="E34" s="64"/>
      <c r="F34" s="64"/>
      <c r="G34" s="64"/>
      <c r="H34" s="65"/>
      <c r="I34" s="65"/>
      <c r="J34" s="65"/>
      <c r="K34" s="65"/>
      <c r="L34" s="65"/>
      <c r="M34" s="65"/>
      <c r="N34" s="65"/>
      <c r="O34" s="65"/>
      <c r="P34" s="66">
        <f t="shared" si="0"/>
        <v>0</v>
      </c>
    </row>
    <row r="35" spans="1:16">
      <c r="A35" s="3">
        <v>33</v>
      </c>
      <c r="B35" s="3" t="s">
        <v>3</v>
      </c>
      <c r="C35" s="3"/>
      <c r="D35" s="64"/>
      <c r="E35" s="64"/>
      <c r="F35" s="64"/>
      <c r="G35" s="64"/>
      <c r="H35" s="65"/>
      <c r="I35" s="65"/>
      <c r="J35" s="65"/>
      <c r="K35" s="65"/>
      <c r="L35" s="65"/>
      <c r="M35" s="65"/>
      <c r="N35" s="65"/>
      <c r="O35" s="65"/>
      <c r="P35" s="66">
        <f t="shared" si="0"/>
        <v>0</v>
      </c>
    </row>
    <row r="36" spans="1:16">
      <c r="A36" s="3">
        <v>34</v>
      </c>
      <c r="B36" s="3" t="s">
        <v>3</v>
      </c>
      <c r="C36" s="3"/>
      <c r="D36" s="64"/>
      <c r="E36" s="64"/>
      <c r="F36" s="64"/>
      <c r="G36" s="64"/>
      <c r="H36" s="65"/>
      <c r="I36" s="65"/>
      <c r="J36" s="65"/>
      <c r="K36" s="65"/>
      <c r="L36" s="65"/>
      <c r="M36" s="65"/>
      <c r="N36" s="65"/>
      <c r="O36" s="65"/>
      <c r="P36" s="66">
        <f t="shared" si="0"/>
        <v>0</v>
      </c>
    </row>
    <row r="37" spans="1:16">
      <c r="A37" s="3">
        <v>35</v>
      </c>
      <c r="B37" s="3" t="s">
        <v>3</v>
      </c>
      <c r="C37" s="3"/>
      <c r="D37" s="64"/>
      <c r="E37" s="64"/>
      <c r="F37" s="64"/>
      <c r="G37" s="64"/>
      <c r="H37" s="65"/>
      <c r="I37" s="65"/>
      <c r="J37" s="65"/>
      <c r="K37" s="65"/>
      <c r="L37" s="65"/>
      <c r="M37" s="65"/>
      <c r="N37" s="65"/>
      <c r="O37" s="65"/>
      <c r="P37" s="66">
        <f t="shared" si="0"/>
        <v>0</v>
      </c>
    </row>
    <row r="38" spans="1:16">
      <c r="A38" s="3">
        <v>36</v>
      </c>
      <c r="B38" s="3" t="s">
        <v>3</v>
      </c>
      <c r="C38" s="3"/>
      <c r="D38" s="64"/>
      <c r="E38" s="64"/>
      <c r="F38" s="64"/>
      <c r="G38" s="64"/>
      <c r="H38" s="65"/>
      <c r="I38" s="65"/>
      <c r="J38" s="65"/>
      <c r="K38" s="65"/>
      <c r="L38" s="65"/>
      <c r="M38" s="65"/>
      <c r="N38" s="65"/>
      <c r="O38" s="65"/>
      <c r="P38" s="66">
        <f t="shared" si="0"/>
        <v>0</v>
      </c>
    </row>
    <row r="39" spans="1:16">
      <c r="A39" s="3">
        <v>37</v>
      </c>
      <c r="B39" s="3" t="s">
        <v>3</v>
      </c>
      <c r="C39" s="3"/>
      <c r="D39" s="64"/>
      <c r="E39" s="64"/>
      <c r="F39" s="64"/>
      <c r="G39" s="64"/>
      <c r="H39" s="65"/>
      <c r="I39" s="65"/>
      <c r="J39" s="65"/>
      <c r="K39" s="65"/>
      <c r="L39" s="65"/>
      <c r="M39" s="65"/>
      <c r="N39" s="65"/>
      <c r="O39" s="65"/>
      <c r="P39" s="66">
        <f t="shared" si="0"/>
        <v>0</v>
      </c>
    </row>
    <row r="40" spans="1:16">
      <c r="A40" s="3">
        <v>38</v>
      </c>
      <c r="B40" s="3" t="s">
        <v>3</v>
      </c>
      <c r="C40" s="3"/>
      <c r="D40" s="64"/>
      <c r="E40" s="64"/>
      <c r="F40" s="64"/>
      <c r="G40" s="64"/>
      <c r="H40" s="65"/>
      <c r="I40" s="65"/>
      <c r="J40" s="65"/>
      <c r="K40" s="65"/>
      <c r="L40" s="65"/>
      <c r="M40" s="65"/>
      <c r="N40" s="65"/>
      <c r="O40" s="65"/>
      <c r="P40" s="66">
        <f t="shared" si="0"/>
        <v>0</v>
      </c>
    </row>
    <row r="41" spans="1:16">
      <c r="A41" s="3">
        <v>39</v>
      </c>
      <c r="B41" s="3" t="s">
        <v>3</v>
      </c>
      <c r="C41" s="3"/>
      <c r="D41" s="64"/>
      <c r="E41" s="64"/>
      <c r="F41" s="64"/>
      <c r="G41" s="64"/>
      <c r="H41" s="65"/>
      <c r="I41" s="65"/>
      <c r="J41" s="65"/>
      <c r="K41" s="65"/>
      <c r="L41" s="65"/>
      <c r="M41" s="65"/>
      <c r="N41" s="65"/>
      <c r="O41" s="65"/>
      <c r="P41" s="66">
        <f t="shared" si="0"/>
        <v>0</v>
      </c>
    </row>
    <row r="42" spans="1:16">
      <c r="A42" s="3">
        <v>40</v>
      </c>
      <c r="B42" s="3" t="s">
        <v>3</v>
      </c>
      <c r="C42" s="3"/>
      <c r="D42" s="64"/>
      <c r="E42" s="64"/>
      <c r="F42" s="64"/>
      <c r="G42" s="64"/>
      <c r="H42" s="65"/>
      <c r="I42" s="65"/>
      <c r="J42" s="65"/>
      <c r="K42" s="65"/>
      <c r="L42" s="65"/>
      <c r="M42" s="65"/>
      <c r="N42" s="65"/>
      <c r="O42" s="65"/>
      <c r="P42" s="66">
        <f t="shared" si="0"/>
        <v>0</v>
      </c>
    </row>
    <row r="43" spans="1:16">
      <c r="A43" s="3">
        <v>41</v>
      </c>
      <c r="B43" s="3" t="s">
        <v>3</v>
      </c>
      <c r="C43" s="3"/>
      <c r="D43" s="64"/>
      <c r="E43" s="64"/>
      <c r="F43" s="64"/>
      <c r="G43" s="64"/>
      <c r="H43" s="65"/>
      <c r="I43" s="65"/>
      <c r="J43" s="65"/>
      <c r="K43" s="65"/>
      <c r="L43" s="65"/>
      <c r="M43" s="65"/>
      <c r="N43" s="65"/>
      <c r="O43" s="65"/>
      <c r="P43" s="66">
        <f t="shared" si="0"/>
        <v>0</v>
      </c>
    </row>
    <row r="44" spans="1:16">
      <c r="A44" s="3">
        <v>42</v>
      </c>
      <c r="B44" s="3" t="s">
        <v>3</v>
      </c>
      <c r="C44" s="3"/>
      <c r="D44" s="64"/>
      <c r="E44" s="64"/>
      <c r="F44" s="64"/>
      <c r="G44" s="64"/>
      <c r="H44" s="65"/>
      <c r="I44" s="65"/>
      <c r="J44" s="65"/>
      <c r="K44" s="65"/>
      <c r="L44" s="65"/>
      <c r="M44" s="65"/>
      <c r="N44" s="65"/>
      <c r="O44" s="65"/>
      <c r="P44" s="66">
        <f t="shared" si="0"/>
        <v>0</v>
      </c>
    </row>
    <row r="45" spans="1:16">
      <c r="A45" s="3">
        <v>43</v>
      </c>
      <c r="B45" s="3" t="s">
        <v>3</v>
      </c>
      <c r="C45" s="3"/>
      <c r="D45" s="64"/>
      <c r="E45" s="64"/>
      <c r="F45" s="64"/>
      <c r="G45" s="64"/>
      <c r="H45" s="65"/>
      <c r="I45" s="65"/>
      <c r="J45" s="65"/>
      <c r="K45" s="65"/>
      <c r="L45" s="65"/>
      <c r="M45" s="65"/>
      <c r="N45" s="65"/>
      <c r="O45" s="65"/>
      <c r="P45" s="66">
        <f t="shared" si="0"/>
        <v>0</v>
      </c>
    </row>
    <row r="46" spans="1:16">
      <c r="A46" s="3">
        <v>44</v>
      </c>
      <c r="B46" s="3" t="s">
        <v>3</v>
      </c>
      <c r="C46" s="3"/>
      <c r="D46" s="64"/>
      <c r="E46" s="64"/>
      <c r="F46" s="64"/>
      <c r="G46" s="64"/>
      <c r="H46" s="65"/>
      <c r="I46" s="65"/>
      <c r="J46" s="65"/>
      <c r="K46" s="65"/>
      <c r="L46" s="65"/>
      <c r="M46" s="65"/>
      <c r="N46" s="65"/>
      <c r="O46" s="65"/>
      <c r="P46" s="66">
        <f t="shared" si="0"/>
        <v>0</v>
      </c>
    </row>
    <row r="47" spans="1:16">
      <c r="A47" s="3">
        <v>45</v>
      </c>
      <c r="B47" s="3" t="s">
        <v>3</v>
      </c>
      <c r="C47" s="3"/>
      <c r="D47" s="64"/>
      <c r="E47" s="64"/>
      <c r="F47" s="64"/>
      <c r="G47" s="64"/>
      <c r="H47" s="65"/>
      <c r="I47" s="65"/>
      <c r="J47" s="65"/>
      <c r="K47" s="65"/>
      <c r="L47" s="65"/>
      <c r="M47" s="65"/>
      <c r="N47" s="65"/>
      <c r="O47" s="65"/>
      <c r="P47" s="66">
        <f t="shared" si="0"/>
        <v>0</v>
      </c>
    </row>
    <row r="48" spans="1:16">
      <c r="A48" s="3">
        <v>46</v>
      </c>
      <c r="B48" s="3" t="s">
        <v>3</v>
      </c>
      <c r="C48" s="3"/>
      <c r="D48" s="64"/>
      <c r="E48" s="64"/>
      <c r="F48" s="64"/>
      <c r="G48" s="64"/>
      <c r="H48" s="65"/>
      <c r="I48" s="65"/>
      <c r="J48" s="65"/>
      <c r="K48" s="65"/>
      <c r="L48" s="65"/>
      <c r="M48" s="65"/>
      <c r="N48" s="65"/>
      <c r="O48" s="65"/>
      <c r="P48" s="66">
        <f t="shared" si="0"/>
        <v>0</v>
      </c>
    </row>
    <row r="49" spans="1:16">
      <c r="A49" s="3">
        <v>47</v>
      </c>
      <c r="B49" s="3" t="s">
        <v>3</v>
      </c>
      <c r="C49" s="3"/>
      <c r="D49" s="64"/>
      <c r="E49" s="64"/>
      <c r="F49" s="64"/>
      <c r="G49" s="64"/>
      <c r="H49" s="65"/>
      <c r="I49" s="65"/>
      <c r="J49" s="65"/>
      <c r="K49" s="65"/>
      <c r="L49" s="65"/>
      <c r="M49" s="65"/>
      <c r="N49" s="65"/>
      <c r="O49" s="65"/>
      <c r="P49" s="66">
        <f t="shared" si="0"/>
        <v>0</v>
      </c>
    </row>
    <row r="50" spans="1:16">
      <c r="A50" s="3">
        <v>48</v>
      </c>
      <c r="B50" s="3" t="s">
        <v>3</v>
      </c>
      <c r="C50" s="3"/>
      <c r="D50" s="64"/>
      <c r="E50" s="64"/>
      <c r="F50" s="64"/>
      <c r="G50" s="64"/>
      <c r="H50" s="65"/>
      <c r="I50" s="65"/>
      <c r="J50" s="65"/>
      <c r="K50" s="65"/>
      <c r="L50" s="65"/>
      <c r="M50" s="65"/>
      <c r="N50" s="65"/>
      <c r="O50" s="65"/>
      <c r="P50" s="66">
        <f t="shared" si="0"/>
        <v>0</v>
      </c>
    </row>
    <row r="51" spans="1:16">
      <c r="A51" s="3">
        <v>49</v>
      </c>
      <c r="B51" s="3" t="s">
        <v>3</v>
      </c>
      <c r="C51" s="3"/>
      <c r="D51" s="64"/>
      <c r="E51" s="64"/>
      <c r="F51" s="64"/>
      <c r="G51" s="64"/>
      <c r="H51" s="65"/>
      <c r="I51" s="65"/>
      <c r="J51" s="65"/>
      <c r="K51" s="65"/>
      <c r="L51" s="65"/>
      <c r="M51" s="65"/>
      <c r="N51" s="65"/>
      <c r="O51" s="65"/>
      <c r="P51" s="66">
        <f t="shared" si="0"/>
        <v>0</v>
      </c>
    </row>
    <row r="52" spans="1:16">
      <c r="A52" s="3">
        <v>50</v>
      </c>
      <c r="B52" s="3" t="s">
        <v>3</v>
      </c>
      <c r="C52" s="3"/>
      <c r="D52" s="64"/>
      <c r="E52" s="64"/>
      <c r="F52" s="64"/>
      <c r="G52" s="64"/>
      <c r="H52" s="65"/>
      <c r="I52" s="65"/>
      <c r="J52" s="65"/>
      <c r="K52" s="65"/>
      <c r="L52" s="65"/>
      <c r="M52" s="65"/>
      <c r="N52" s="65"/>
      <c r="O52" s="65"/>
      <c r="P52" s="66">
        <f t="shared" si="0"/>
        <v>0</v>
      </c>
    </row>
    <row r="53" spans="1:16">
      <c r="A53" s="3">
        <v>51</v>
      </c>
      <c r="B53" s="3" t="s">
        <v>3</v>
      </c>
      <c r="C53" s="3"/>
      <c r="D53" s="64"/>
      <c r="E53" s="64"/>
      <c r="F53" s="64"/>
      <c r="G53" s="64"/>
      <c r="H53" s="65"/>
      <c r="I53" s="65"/>
      <c r="J53" s="65"/>
      <c r="K53" s="65"/>
      <c r="L53" s="65"/>
      <c r="M53" s="65"/>
      <c r="N53" s="65"/>
      <c r="O53" s="65"/>
      <c r="P53" s="66">
        <f t="shared" si="0"/>
        <v>0</v>
      </c>
    </row>
    <row r="54" spans="1:16">
      <c r="A54" s="3">
        <v>52</v>
      </c>
      <c r="B54" s="3" t="s">
        <v>3</v>
      </c>
      <c r="C54" s="3"/>
      <c r="D54" s="64"/>
      <c r="E54" s="64"/>
      <c r="F54" s="64"/>
      <c r="G54" s="64"/>
      <c r="H54" s="65"/>
      <c r="I54" s="65"/>
      <c r="J54" s="65"/>
      <c r="K54" s="65"/>
      <c r="L54" s="65"/>
      <c r="M54" s="65"/>
      <c r="N54" s="65"/>
      <c r="O54" s="65"/>
      <c r="P54" s="66">
        <f t="shared" si="0"/>
        <v>0</v>
      </c>
    </row>
    <row r="55" spans="1:16">
      <c r="A55" s="3">
        <v>53</v>
      </c>
      <c r="B55" s="3" t="s">
        <v>3</v>
      </c>
      <c r="C55" s="3"/>
      <c r="D55" s="64"/>
      <c r="E55" s="64"/>
      <c r="F55" s="64"/>
      <c r="G55" s="64"/>
      <c r="H55" s="65"/>
      <c r="I55" s="65"/>
      <c r="J55" s="65"/>
      <c r="K55" s="65"/>
      <c r="L55" s="65"/>
      <c r="M55" s="65"/>
      <c r="N55" s="65"/>
      <c r="O55" s="65"/>
      <c r="P55" s="66">
        <f t="shared" si="0"/>
        <v>0</v>
      </c>
    </row>
    <row r="56" spans="1:16">
      <c r="A56" s="3">
        <v>54</v>
      </c>
      <c r="B56" s="3" t="s">
        <v>3</v>
      </c>
      <c r="C56" s="3"/>
      <c r="D56" s="64"/>
      <c r="E56" s="64"/>
      <c r="F56" s="64"/>
      <c r="G56" s="64"/>
      <c r="H56" s="65"/>
      <c r="I56" s="65"/>
      <c r="J56" s="65"/>
      <c r="K56" s="65"/>
      <c r="L56" s="65"/>
      <c r="M56" s="65"/>
      <c r="N56" s="65"/>
      <c r="O56" s="65"/>
      <c r="P56" s="66">
        <f t="shared" si="0"/>
        <v>0</v>
      </c>
    </row>
    <row r="57" spans="1:16">
      <c r="A57" s="3">
        <v>55</v>
      </c>
      <c r="B57" s="3" t="s">
        <v>3</v>
      </c>
      <c r="C57" s="3"/>
      <c r="D57" s="64"/>
      <c r="E57" s="64"/>
      <c r="F57" s="64"/>
      <c r="G57" s="64"/>
      <c r="H57" s="65"/>
      <c r="I57" s="65"/>
      <c r="J57" s="65"/>
      <c r="K57" s="65"/>
      <c r="L57" s="65"/>
      <c r="M57" s="65"/>
      <c r="N57" s="65"/>
      <c r="O57" s="65"/>
      <c r="P57" s="66">
        <f t="shared" si="0"/>
        <v>0</v>
      </c>
    </row>
    <row r="58" spans="1:16">
      <c r="A58" s="3">
        <v>56</v>
      </c>
      <c r="B58" s="3" t="s">
        <v>3</v>
      </c>
      <c r="C58" s="3"/>
      <c r="D58" s="64"/>
      <c r="E58" s="64"/>
      <c r="F58" s="64"/>
      <c r="G58" s="64"/>
      <c r="H58" s="65"/>
      <c r="I58" s="65"/>
      <c r="J58" s="65"/>
      <c r="K58" s="65"/>
      <c r="L58" s="65"/>
      <c r="M58" s="65"/>
      <c r="N58" s="65"/>
      <c r="O58" s="65"/>
      <c r="P58" s="66">
        <f t="shared" si="0"/>
        <v>0</v>
      </c>
    </row>
    <row r="59" spans="1:16">
      <c r="A59" s="3">
        <v>57</v>
      </c>
      <c r="B59" s="3" t="s">
        <v>3</v>
      </c>
      <c r="C59" s="3"/>
      <c r="D59" s="64"/>
      <c r="E59" s="64"/>
      <c r="F59" s="64"/>
      <c r="G59" s="64"/>
      <c r="H59" s="65"/>
      <c r="I59" s="65"/>
      <c r="J59" s="65"/>
      <c r="K59" s="65"/>
      <c r="L59" s="65"/>
      <c r="M59" s="65"/>
      <c r="N59" s="65"/>
      <c r="O59" s="65"/>
      <c r="P59" s="66">
        <f t="shared" si="0"/>
        <v>0</v>
      </c>
    </row>
    <row r="60" spans="1:16">
      <c r="A60" s="3">
        <v>58</v>
      </c>
      <c r="B60" s="3" t="s">
        <v>3</v>
      </c>
      <c r="C60" s="3"/>
      <c r="D60" s="64"/>
      <c r="E60" s="64"/>
      <c r="F60" s="64"/>
      <c r="G60" s="64"/>
      <c r="H60" s="65"/>
      <c r="I60" s="65"/>
      <c r="J60" s="65"/>
      <c r="K60" s="65"/>
      <c r="L60" s="65"/>
      <c r="M60" s="65"/>
      <c r="N60" s="65"/>
      <c r="O60" s="65"/>
      <c r="P60" s="66">
        <f t="shared" si="0"/>
        <v>0</v>
      </c>
    </row>
    <row r="61" spans="1:16">
      <c r="A61" s="3">
        <v>59</v>
      </c>
      <c r="B61" s="3" t="s">
        <v>3</v>
      </c>
      <c r="C61" s="3"/>
      <c r="D61" s="64"/>
      <c r="E61" s="64"/>
      <c r="F61" s="64"/>
      <c r="G61" s="64"/>
      <c r="H61" s="65"/>
      <c r="I61" s="65"/>
      <c r="J61" s="65"/>
      <c r="K61" s="65"/>
      <c r="L61" s="65"/>
      <c r="M61" s="65"/>
      <c r="N61" s="65"/>
      <c r="O61" s="65"/>
      <c r="P61" s="66">
        <f t="shared" si="0"/>
        <v>0</v>
      </c>
    </row>
    <row r="62" spans="1:16">
      <c r="A62" s="3">
        <v>60</v>
      </c>
      <c r="B62" s="3" t="s">
        <v>3</v>
      </c>
      <c r="C62" s="3"/>
      <c r="D62" s="64"/>
      <c r="E62" s="64"/>
      <c r="F62" s="64"/>
      <c r="G62" s="64"/>
      <c r="H62" s="65"/>
      <c r="I62" s="65"/>
      <c r="J62" s="65"/>
      <c r="K62" s="65"/>
      <c r="L62" s="65"/>
      <c r="M62" s="65"/>
      <c r="N62" s="65"/>
      <c r="O62" s="65"/>
      <c r="P62" s="66">
        <f t="shared" si="0"/>
        <v>0</v>
      </c>
    </row>
    <row r="63" spans="1:16">
      <c r="A63" s="3">
        <v>61</v>
      </c>
      <c r="B63" s="3" t="s">
        <v>3</v>
      </c>
      <c r="C63" s="3"/>
      <c r="D63" s="64"/>
      <c r="E63" s="64"/>
      <c r="F63" s="64"/>
      <c r="G63" s="64"/>
      <c r="H63" s="65"/>
      <c r="I63" s="65"/>
      <c r="J63" s="65"/>
      <c r="K63" s="65"/>
      <c r="L63" s="65"/>
      <c r="M63" s="65"/>
      <c r="N63" s="65"/>
      <c r="O63" s="65"/>
      <c r="P63" s="66">
        <f t="shared" si="0"/>
        <v>0</v>
      </c>
    </row>
    <row r="64" spans="1:16">
      <c r="A64" s="3">
        <v>62</v>
      </c>
      <c r="B64" s="3" t="s">
        <v>3</v>
      </c>
      <c r="C64" s="3"/>
      <c r="D64" s="64"/>
      <c r="E64" s="64"/>
      <c r="F64" s="64"/>
      <c r="G64" s="64"/>
      <c r="H64" s="65"/>
      <c r="I64" s="65"/>
      <c r="J64" s="65"/>
      <c r="K64" s="65"/>
      <c r="L64" s="65"/>
      <c r="M64" s="65"/>
      <c r="N64" s="65"/>
      <c r="O64" s="65"/>
      <c r="P64" s="66">
        <f t="shared" si="0"/>
        <v>0</v>
      </c>
    </row>
    <row r="65" spans="1:16">
      <c r="A65" s="3">
        <v>63</v>
      </c>
      <c r="B65" s="3" t="s">
        <v>3</v>
      </c>
      <c r="C65" s="3"/>
      <c r="D65" s="64"/>
      <c r="E65" s="64"/>
      <c r="F65" s="64"/>
      <c r="G65" s="64"/>
      <c r="H65" s="65"/>
      <c r="I65" s="65"/>
      <c r="J65" s="65"/>
      <c r="K65" s="65"/>
      <c r="L65" s="65"/>
      <c r="M65" s="65"/>
      <c r="N65" s="65"/>
      <c r="O65" s="65"/>
      <c r="P65" s="66">
        <f t="shared" si="0"/>
        <v>0</v>
      </c>
    </row>
    <row r="66" spans="1:16">
      <c r="A66" s="3">
        <v>64</v>
      </c>
      <c r="B66" s="3" t="s">
        <v>3</v>
      </c>
      <c r="C66" s="3"/>
      <c r="D66" s="64"/>
      <c r="E66" s="64"/>
      <c r="F66" s="64"/>
      <c r="G66" s="64"/>
      <c r="H66" s="65"/>
      <c r="I66" s="65"/>
      <c r="J66" s="65"/>
      <c r="K66" s="65"/>
      <c r="L66" s="65"/>
      <c r="M66" s="65"/>
      <c r="N66" s="65"/>
      <c r="O66" s="65"/>
      <c r="P66" s="66">
        <f t="shared" si="0"/>
        <v>0</v>
      </c>
    </row>
    <row r="67" spans="1:16">
      <c r="A67" s="3">
        <v>65</v>
      </c>
      <c r="B67" s="3" t="s">
        <v>3</v>
      </c>
      <c r="C67" s="3"/>
      <c r="D67" s="64"/>
      <c r="E67" s="64"/>
      <c r="F67" s="64"/>
      <c r="G67" s="64"/>
      <c r="H67" s="65"/>
      <c r="I67" s="65"/>
      <c r="J67" s="65"/>
      <c r="K67" s="65"/>
      <c r="L67" s="65"/>
      <c r="M67" s="65"/>
      <c r="N67" s="65"/>
      <c r="O67" s="65"/>
      <c r="P67" s="66">
        <f t="shared" si="0"/>
        <v>0</v>
      </c>
    </row>
    <row r="68" spans="1:16">
      <c r="A68" s="3">
        <v>66</v>
      </c>
      <c r="B68" s="3" t="s">
        <v>3</v>
      </c>
      <c r="C68" s="3"/>
      <c r="D68" s="64"/>
      <c r="E68" s="64"/>
      <c r="F68" s="64"/>
      <c r="G68" s="64"/>
      <c r="H68" s="65"/>
      <c r="I68" s="65"/>
      <c r="J68" s="65"/>
      <c r="K68" s="65"/>
      <c r="L68" s="65"/>
      <c r="M68" s="65"/>
      <c r="N68" s="65"/>
      <c r="O68" s="65"/>
      <c r="P68" s="66">
        <f t="shared" ref="P68:P97" si="1">SUM(D68:O68)</f>
        <v>0</v>
      </c>
    </row>
    <row r="69" spans="1:16">
      <c r="A69" s="3">
        <v>67</v>
      </c>
      <c r="B69" s="3" t="s">
        <v>3</v>
      </c>
      <c r="C69" s="3"/>
      <c r="D69" s="64"/>
      <c r="E69" s="64"/>
      <c r="F69" s="64"/>
      <c r="G69" s="64"/>
      <c r="H69" s="65"/>
      <c r="I69" s="65"/>
      <c r="J69" s="65"/>
      <c r="K69" s="65"/>
      <c r="L69" s="65"/>
      <c r="M69" s="65"/>
      <c r="N69" s="65"/>
      <c r="O69" s="65"/>
      <c r="P69" s="66">
        <f t="shared" si="1"/>
        <v>0</v>
      </c>
    </row>
    <row r="70" spans="1:16">
      <c r="A70" s="3">
        <v>68</v>
      </c>
      <c r="B70" s="3" t="s">
        <v>3</v>
      </c>
      <c r="C70" s="3"/>
      <c r="D70" s="64"/>
      <c r="E70" s="64"/>
      <c r="F70" s="64"/>
      <c r="G70" s="64"/>
      <c r="H70" s="65"/>
      <c r="I70" s="65"/>
      <c r="J70" s="65"/>
      <c r="K70" s="65"/>
      <c r="L70" s="65"/>
      <c r="M70" s="65"/>
      <c r="N70" s="65"/>
      <c r="O70" s="65"/>
      <c r="P70" s="66">
        <f t="shared" si="1"/>
        <v>0</v>
      </c>
    </row>
    <row r="71" spans="1:16">
      <c r="A71" s="3">
        <v>69</v>
      </c>
      <c r="B71" s="3" t="s">
        <v>3</v>
      </c>
      <c r="C71" s="3"/>
      <c r="D71" s="64"/>
      <c r="E71" s="64"/>
      <c r="F71" s="64"/>
      <c r="G71" s="64"/>
      <c r="H71" s="65"/>
      <c r="I71" s="65"/>
      <c r="J71" s="65"/>
      <c r="K71" s="65"/>
      <c r="L71" s="65"/>
      <c r="M71" s="65"/>
      <c r="N71" s="65"/>
      <c r="O71" s="65"/>
      <c r="P71" s="66">
        <f t="shared" si="1"/>
        <v>0</v>
      </c>
    </row>
    <row r="72" spans="1:16">
      <c r="A72" s="3">
        <v>70</v>
      </c>
      <c r="B72" s="3" t="s">
        <v>3</v>
      </c>
      <c r="C72" s="3"/>
      <c r="D72" s="64"/>
      <c r="E72" s="64"/>
      <c r="F72" s="64"/>
      <c r="G72" s="64"/>
      <c r="H72" s="65"/>
      <c r="I72" s="65"/>
      <c r="J72" s="65"/>
      <c r="K72" s="65"/>
      <c r="L72" s="65"/>
      <c r="M72" s="65"/>
      <c r="N72" s="65"/>
      <c r="O72" s="65"/>
      <c r="P72" s="66">
        <f t="shared" si="1"/>
        <v>0</v>
      </c>
    </row>
    <row r="73" spans="1:16">
      <c r="A73" s="3">
        <v>71</v>
      </c>
      <c r="B73" s="3" t="s">
        <v>3</v>
      </c>
      <c r="C73" s="3"/>
      <c r="D73" s="64"/>
      <c r="E73" s="64"/>
      <c r="F73" s="64"/>
      <c r="G73" s="64"/>
      <c r="H73" s="65"/>
      <c r="I73" s="65"/>
      <c r="J73" s="65"/>
      <c r="K73" s="65"/>
      <c r="L73" s="65"/>
      <c r="M73" s="65"/>
      <c r="N73" s="65"/>
      <c r="O73" s="65"/>
      <c r="P73" s="66">
        <f t="shared" si="1"/>
        <v>0</v>
      </c>
    </row>
    <row r="74" spans="1:16">
      <c r="A74" s="3">
        <v>72</v>
      </c>
      <c r="B74" s="3" t="s">
        <v>3</v>
      </c>
      <c r="C74" s="3"/>
      <c r="D74" s="64"/>
      <c r="E74" s="64"/>
      <c r="F74" s="64"/>
      <c r="G74" s="64"/>
      <c r="H74" s="65"/>
      <c r="I74" s="65"/>
      <c r="J74" s="65"/>
      <c r="K74" s="65"/>
      <c r="L74" s="65"/>
      <c r="M74" s="65"/>
      <c r="N74" s="65"/>
      <c r="O74" s="65"/>
      <c r="P74" s="66">
        <f t="shared" si="1"/>
        <v>0</v>
      </c>
    </row>
    <row r="75" spans="1:16">
      <c r="A75" s="3">
        <v>73</v>
      </c>
      <c r="B75" s="3" t="s">
        <v>3</v>
      </c>
      <c r="C75" s="3"/>
      <c r="D75" s="64"/>
      <c r="E75" s="64"/>
      <c r="F75" s="64"/>
      <c r="G75" s="64"/>
      <c r="H75" s="65"/>
      <c r="I75" s="65"/>
      <c r="J75" s="65"/>
      <c r="K75" s="65"/>
      <c r="L75" s="65"/>
      <c r="M75" s="65"/>
      <c r="N75" s="65"/>
      <c r="O75" s="65"/>
      <c r="P75" s="66">
        <f t="shared" si="1"/>
        <v>0</v>
      </c>
    </row>
    <row r="76" spans="1:16">
      <c r="A76" s="3">
        <v>74</v>
      </c>
      <c r="B76" s="3" t="s">
        <v>3</v>
      </c>
      <c r="C76" s="3"/>
      <c r="D76" s="64"/>
      <c r="E76" s="64"/>
      <c r="F76" s="64"/>
      <c r="G76" s="64"/>
      <c r="H76" s="65"/>
      <c r="I76" s="65"/>
      <c r="J76" s="65"/>
      <c r="K76" s="65"/>
      <c r="L76" s="65"/>
      <c r="M76" s="65"/>
      <c r="N76" s="65"/>
      <c r="O76" s="65"/>
      <c r="P76" s="66">
        <f t="shared" si="1"/>
        <v>0</v>
      </c>
    </row>
    <row r="77" spans="1:16">
      <c r="A77" s="3">
        <v>75</v>
      </c>
      <c r="B77" s="3" t="s">
        <v>3</v>
      </c>
      <c r="C77" s="3"/>
      <c r="D77" s="64"/>
      <c r="E77" s="64"/>
      <c r="F77" s="64"/>
      <c r="G77" s="64"/>
      <c r="H77" s="65"/>
      <c r="I77" s="65"/>
      <c r="J77" s="65"/>
      <c r="K77" s="65"/>
      <c r="L77" s="65"/>
      <c r="M77" s="65"/>
      <c r="N77" s="65"/>
      <c r="O77" s="65"/>
      <c r="P77" s="66">
        <f t="shared" si="1"/>
        <v>0</v>
      </c>
    </row>
    <row r="78" spans="1:16">
      <c r="A78" s="3">
        <v>76</v>
      </c>
      <c r="B78" s="3" t="s">
        <v>3</v>
      </c>
      <c r="C78" s="67"/>
      <c r="D78" s="68"/>
      <c r="E78" s="68"/>
      <c r="F78" s="68"/>
      <c r="G78" s="68"/>
      <c r="H78" s="65"/>
      <c r="I78" s="65"/>
      <c r="J78" s="65"/>
      <c r="K78" s="65"/>
      <c r="L78" s="65"/>
      <c r="M78" s="65"/>
      <c r="N78" s="65"/>
      <c r="O78" s="65"/>
      <c r="P78" s="66">
        <f t="shared" si="1"/>
        <v>0</v>
      </c>
    </row>
    <row r="79" spans="1:16">
      <c r="A79" s="3">
        <v>77</v>
      </c>
      <c r="B79" s="3" t="s">
        <v>3</v>
      </c>
      <c r="C79" s="3"/>
      <c r="D79" s="64"/>
      <c r="E79" s="64"/>
      <c r="F79" s="64"/>
      <c r="G79" s="64"/>
      <c r="H79" s="65"/>
      <c r="I79" s="65"/>
      <c r="J79" s="65"/>
      <c r="K79" s="65"/>
      <c r="L79" s="65"/>
      <c r="M79" s="65"/>
      <c r="N79" s="65"/>
      <c r="O79" s="65"/>
      <c r="P79" s="66">
        <f t="shared" si="1"/>
        <v>0</v>
      </c>
    </row>
    <row r="80" spans="1:16">
      <c r="A80" s="3">
        <v>78</v>
      </c>
      <c r="B80" s="3" t="s">
        <v>3</v>
      </c>
      <c r="C80" s="3"/>
      <c r="D80" s="64"/>
      <c r="E80" s="64"/>
      <c r="F80" s="64"/>
      <c r="G80" s="64"/>
      <c r="H80" s="65"/>
      <c r="I80" s="65"/>
      <c r="J80" s="65"/>
      <c r="K80" s="65"/>
      <c r="L80" s="65"/>
      <c r="M80" s="65"/>
      <c r="N80" s="65"/>
      <c r="O80" s="65"/>
      <c r="P80" s="66">
        <f t="shared" si="1"/>
        <v>0</v>
      </c>
    </row>
    <row r="81" spans="1:16">
      <c r="A81" s="67">
        <v>79</v>
      </c>
      <c r="B81" s="3" t="s">
        <v>3</v>
      </c>
      <c r="C81" s="3"/>
      <c r="D81" s="64"/>
      <c r="E81" s="64"/>
      <c r="F81" s="64"/>
      <c r="G81" s="64"/>
      <c r="H81" s="65"/>
      <c r="I81" s="65"/>
      <c r="J81" s="65"/>
      <c r="K81" s="65"/>
      <c r="L81" s="65"/>
      <c r="M81" s="65"/>
      <c r="N81" s="65"/>
      <c r="O81" s="65"/>
      <c r="P81" s="66">
        <f t="shared" si="1"/>
        <v>0</v>
      </c>
    </row>
    <row r="82" spans="1:16">
      <c r="A82" s="3">
        <v>80</v>
      </c>
      <c r="B82" s="3" t="s">
        <v>3</v>
      </c>
      <c r="C82" s="3"/>
      <c r="D82" s="64"/>
      <c r="E82" s="64"/>
      <c r="F82" s="64"/>
      <c r="G82" s="64"/>
      <c r="H82" s="65"/>
      <c r="I82" s="65"/>
      <c r="J82" s="65"/>
      <c r="K82" s="65"/>
      <c r="L82" s="65"/>
      <c r="M82" s="65"/>
      <c r="N82" s="65"/>
      <c r="O82" s="65"/>
      <c r="P82" s="66">
        <f t="shared" si="1"/>
        <v>0</v>
      </c>
    </row>
    <row r="83" spans="1:16">
      <c r="A83" s="3">
        <v>81</v>
      </c>
      <c r="B83" s="3" t="s">
        <v>3</v>
      </c>
      <c r="C83" s="3"/>
      <c r="D83" s="64"/>
      <c r="E83" s="64"/>
      <c r="F83" s="64"/>
      <c r="G83" s="64"/>
      <c r="H83" s="65"/>
      <c r="I83" s="65"/>
      <c r="J83" s="65"/>
      <c r="K83" s="65"/>
      <c r="L83" s="65"/>
      <c r="M83" s="65"/>
      <c r="N83" s="65"/>
      <c r="O83" s="65"/>
      <c r="P83" s="66">
        <f t="shared" si="1"/>
        <v>0</v>
      </c>
    </row>
    <row r="84" spans="1:16">
      <c r="A84" s="3">
        <v>82</v>
      </c>
      <c r="B84" s="3" t="s">
        <v>3</v>
      </c>
      <c r="C84" s="3"/>
      <c r="D84" s="64"/>
      <c r="E84" s="64"/>
      <c r="F84" s="64"/>
      <c r="G84" s="64"/>
      <c r="H84" s="65"/>
      <c r="I84" s="65"/>
      <c r="J84" s="65"/>
      <c r="K84" s="65"/>
      <c r="L84" s="65"/>
      <c r="M84" s="65"/>
      <c r="N84" s="65"/>
      <c r="O84" s="65"/>
      <c r="P84" s="66">
        <f t="shared" si="1"/>
        <v>0</v>
      </c>
    </row>
    <row r="85" spans="1:16">
      <c r="A85" s="3">
        <v>83</v>
      </c>
      <c r="B85" s="3" t="s">
        <v>3</v>
      </c>
      <c r="C85" s="3"/>
      <c r="D85" s="64"/>
      <c r="E85" s="64"/>
      <c r="F85" s="64"/>
      <c r="G85" s="64"/>
      <c r="H85" s="65"/>
      <c r="I85" s="65"/>
      <c r="J85" s="65"/>
      <c r="K85" s="65"/>
      <c r="L85" s="65"/>
      <c r="M85" s="65"/>
      <c r="N85" s="65"/>
      <c r="O85" s="65"/>
      <c r="P85" s="66">
        <f t="shared" si="1"/>
        <v>0</v>
      </c>
    </row>
    <row r="86" spans="1:16">
      <c r="A86" s="3">
        <v>84</v>
      </c>
      <c r="B86" s="3" t="s">
        <v>3</v>
      </c>
      <c r="C86" s="3"/>
      <c r="D86" s="64"/>
      <c r="E86" s="64"/>
      <c r="F86" s="64"/>
      <c r="G86" s="64"/>
      <c r="H86" s="65"/>
      <c r="I86" s="65"/>
      <c r="J86" s="65"/>
      <c r="K86" s="65"/>
      <c r="L86" s="65"/>
      <c r="M86" s="65"/>
      <c r="N86" s="65"/>
      <c r="O86" s="65"/>
      <c r="P86" s="66">
        <f t="shared" si="1"/>
        <v>0</v>
      </c>
    </row>
    <row r="87" spans="1:16">
      <c r="A87" s="3">
        <v>85</v>
      </c>
      <c r="B87" s="3" t="s">
        <v>3</v>
      </c>
      <c r="C87" s="3"/>
      <c r="D87" s="64"/>
      <c r="E87" s="64"/>
      <c r="F87" s="64"/>
      <c r="G87" s="64"/>
      <c r="H87" s="65"/>
      <c r="I87" s="65"/>
      <c r="J87" s="65"/>
      <c r="K87" s="65"/>
      <c r="L87" s="65"/>
      <c r="M87" s="65"/>
      <c r="N87" s="65"/>
      <c r="O87" s="65"/>
      <c r="P87" s="66">
        <f t="shared" si="1"/>
        <v>0</v>
      </c>
    </row>
    <row r="88" spans="1:16">
      <c r="A88" s="3">
        <v>86</v>
      </c>
      <c r="B88" s="3" t="s">
        <v>3</v>
      </c>
      <c r="C88" s="3"/>
      <c r="D88" s="64"/>
      <c r="E88" s="64"/>
      <c r="F88" s="64"/>
      <c r="G88" s="64"/>
      <c r="H88" s="65"/>
      <c r="I88" s="65"/>
      <c r="J88" s="65"/>
      <c r="K88" s="65"/>
      <c r="L88" s="65"/>
      <c r="M88" s="65"/>
      <c r="N88" s="65"/>
      <c r="O88" s="65"/>
      <c r="P88" s="66">
        <f t="shared" si="1"/>
        <v>0</v>
      </c>
    </row>
    <row r="89" spans="1:16">
      <c r="A89" s="3">
        <v>87</v>
      </c>
      <c r="B89" s="3" t="s">
        <v>3</v>
      </c>
      <c r="C89" s="3"/>
      <c r="D89" s="64"/>
      <c r="E89" s="64"/>
      <c r="F89" s="64"/>
      <c r="G89" s="64"/>
      <c r="H89" s="65"/>
      <c r="I89" s="65"/>
      <c r="J89" s="65"/>
      <c r="K89" s="65"/>
      <c r="L89" s="65"/>
      <c r="M89" s="65"/>
      <c r="N89" s="65"/>
      <c r="O89" s="65"/>
      <c r="P89" s="66">
        <f t="shared" si="1"/>
        <v>0</v>
      </c>
    </row>
    <row r="90" spans="1:16">
      <c r="A90" s="3">
        <v>88</v>
      </c>
      <c r="B90" s="3" t="s">
        <v>3</v>
      </c>
      <c r="C90" s="3"/>
      <c r="D90" s="64"/>
      <c r="E90" s="64"/>
      <c r="F90" s="64"/>
      <c r="G90" s="64"/>
      <c r="H90" s="65"/>
      <c r="I90" s="65"/>
      <c r="J90" s="65"/>
      <c r="K90" s="65"/>
      <c r="L90" s="65"/>
      <c r="M90" s="65"/>
      <c r="N90" s="65"/>
      <c r="O90" s="65"/>
      <c r="P90" s="66">
        <f t="shared" si="1"/>
        <v>0</v>
      </c>
    </row>
    <row r="91" spans="1:16">
      <c r="A91" s="3">
        <v>89</v>
      </c>
      <c r="B91" s="3" t="s">
        <v>3</v>
      </c>
      <c r="C91" s="3"/>
      <c r="D91" s="64"/>
      <c r="E91" s="64"/>
      <c r="F91" s="64"/>
      <c r="G91" s="64"/>
      <c r="H91" s="65"/>
      <c r="I91" s="65"/>
      <c r="J91" s="65"/>
      <c r="K91" s="65"/>
      <c r="L91" s="65"/>
      <c r="M91" s="65"/>
      <c r="N91" s="65"/>
      <c r="O91" s="65"/>
      <c r="P91" s="66">
        <f t="shared" si="1"/>
        <v>0</v>
      </c>
    </row>
    <row r="92" spans="1:16">
      <c r="A92" s="3">
        <v>90</v>
      </c>
      <c r="B92" s="3" t="s">
        <v>3</v>
      </c>
      <c r="C92" s="3"/>
      <c r="D92" s="64"/>
      <c r="E92" s="64"/>
      <c r="F92" s="64"/>
      <c r="G92" s="64"/>
      <c r="H92" s="65"/>
      <c r="I92" s="65"/>
      <c r="J92" s="65"/>
      <c r="K92" s="65"/>
      <c r="L92" s="65"/>
      <c r="M92" s="65"/>
      <c r="N92" s="65"/>
      <c r="O92" s="65"/>
      <c r="P92" s="66">
        <f t="shared" si="1"/>
        <v>0</v>
      </c>
    </row>
    <row r="93" spans="1:16">
      <c r="A93" s="3">
        <v>91</v>
      </c>
      <c r="B93" s="3" t="s">
        <v>3</v>
      </c>
      <c r="C93" s="3"/>
      <c r="D93" s="64"/>
      <c r="E93" s="64"/>
      <c r="F93" s="64"/>
      <c r="G93" s="64"/>
      <c r="H93" s="65"/>
      <c r="I93" s="65"/>
      <c r="J93" s="65"/>
      <c r="K93" s="65"/>
      <c r="L93" s="65"/>
      <c r="M93" s="65"/>
      <c r="N93" s="65"/>
      <c r="O93" s="65"/>
      <c r="P93" s="66">
        <f t="shared" si="1"/>
        <v>0</v>
      </c>
    </row>
    <row r="94" spans="1:16">
      <c r="A94" s="3">
        <v>92</v>
      </c>
      <c r="B94" s="3" t="s">
        <v>3</v>
      </c>
      <c r="C94" s="3"/>
      <c r="D94" s="64"/>
      <c r="E94" s="64"/>
      <c r="F94" s="64"/>
      <c r="G94" s="64"/>
      <c r="H94" s="65"/>
      <c r="I94" s="65"/>
      <c r="J94" s="65"/>
      <c r="K94" s="65"/>
      <c r="L94" s="65"/>
      <c r="M94" s="65"/>
      <c r="N94" s="65"/>
      <c r="O94" s="65"/>
      <c r="P94" s="66">
        <f t="shared" si="1"/>
        <v>0</v>
      </c>
    </row>
    <row r="95" spans="1:16">
      <c r="A95" s="3">
        <v>93</v>
      </c>
      <c r="B95" s="3" t="s">
        <v>3</v>
      </c>
      <c r="C95" s="3"/>
      <c r="D95" s="64"/>
      <c r="E95" s="64"/>
      <c r="F95" s="64"/>
      <c r="G95" s="64"/>
      <c r="H95" s="65"/>
      <c r="I95" s="65"/>
      <c r="J95" s="65"/>
      <c r="K95" s="65"/>
      <c r="L95" s="65"/>
      <c r="M95" s="65"/>
      <c r="N95" s="65"/>
      <c r="O95" s="65"/>
      <c r="P95" s="66">
        <f t="shared" si="1"/>
        <v>0</v>
      </c>
    </row>
    <row r="96" spans="1:16">
      <c r="A96" s="3">
        <v>94</v>
      </c>
      <c r="B96" s="3" t="s">
        <v>3</v>
      </c>
      <c r="C96" s="3"/>
      <c r="D96" s="64"/>
      <c r="E96" s="64"/>
      <c r="F96" s="64"/>
      <c r="G96" s="64"/>
      <c r="H96" s="65"/>
      <c r="I96" s="65"/>
      <c r="J96" s="65"/>
      <c r="K96" s="65"/>
      <c r="L96" s="65"/>
      <c r="M96" s="65"/>
      <c r="N96" s="65"/>
      <c r="O96" s="65"/>
      <c r="P96" s="66">
        <f t="shared" si="1"/>
        <v>0</v>
      </c>
    </row>
    <row r="97" spans="1:16">
      <c r="A97" s="3">
        <v>95</v>
      </c>
      <c r="B97" s="3" t="s">
        <v>3</v>
      </c>
      <c r="C97" s="3"/>
      <c r="D97" s="64"/>
      <c r="E97" s="64"/>
      <c r="F97" s="64"/>
      <c r="G97" s="64"/>
      <c r="H97" s="65"/>
      <c r="I97" s="65"/>
      <c r="J97" s="65"/>
      <c r="K97" s="65"/>
      <c r="L97" s="65"/>
      <c r="M97" s="65"/>
      <c r="N97" s="65"/>
      <c r="O97" s="65"/>
      <c r="P97" s="66">
        <f t="shared" si="1"/>
        <v>0</v>
      </c>
    </row>
    <row r="98" spans="1:16">
      <c r="D98" s="59"/>
      <c r="E98" s="59"/>
      <c r="F98" s="59"/>
      <c r="G98" s="59"/>
      <c r="H98" s="59"/>
      <c r="I98" s="59"/>
      <c r="J98" s="59"/>
      <c r="K98" s="59"/>
      <c r="L98" s="59"/>
      <c r="M98" s="59"/>
      <c r="N98" s="59"/>
      <c r="O98" s="59"/>
    </row>
    <row r="99" spans="1:16">
      <c r="D99" s="59"/>
      <c r="E99" s="59"/>
      <c r="F99" s="59"/>
      <c r="G99" s="59"/>
      <c r="H99" s="59"/>
      <c r="I99" s="59"/>
      <c r="J99" s="59"/>
      <c r="K99" s="59"/>
      <c r="L99" s="59"/>
      <c r="M99" s="59"/>
      <c r="N99" s="59"/>
      <c r="O99" s="59"/>
    </row>
    <row r="100" spans="1:16">
      <c r="D100" s="59"/>
      <c r="E100" s="59"/>
      <c r="F100" s="59"/>
      <c r="G100" s="59"/>
      <c r="H100" s="59"/>
      <c r="I100" s="59"/>
      <c r="J100" s="59"/>
      <c r="K100" s="59"/>
      <c r="L100" s="59"/>
      <c r="M100" s="59"/>
      <c r="N100" s="59"/>
      <c r="O100" s="59"/>
    </row>
    <row r="101" spans="1:16">
      <c r="D101" s="59"/>
      <c r="E101" s="59"/>
      <c r="F101" s="59"/>
      <c r="G101" s="59"/>
      <c r="H101" s="59"/>
      <c r="I101" s="59"/>
      <c r="J101" s="59"/>
      <c r="K101" s="59"/>
      <c r="L101" s="59"/>
      <c r="M101" s="59"/>
      <c r="N101" s="59"/>
      <c r="O101" s="59"/>
    </row>
    <row r="102" spans="1:16">
      <c r="D102" s="59"/>
      <c r="E102" s="59"/>
      <c r="F102" s="59"/>
      <c r="G102" s="59"/>
      <c r="H102" s="59"/>
      <c r="I102" s="59"/>
      <c r="J102" s="59"/>
      <c r="K102" s="59"/>
      <c r="L102" s="59"/>
      <c r="M102" s="59"/>
      <c r="N102" s="59"/>
      <c r="O102" s="59"/>
    </row>
    <row r="103" spans="1:16">
      <c r="D103" s="59"/>
      <c r="E103" s="59"/>
      <c r="F103" s="59"/>
      <c r="G103" s="59"/>
      <c r="H103" s="59"/>
      <c r="I103" s="59"/>
      <c r="J103" s="59"/>
      <c r="K103" s="59"/>
      <c r="L103" s="59"/>
      <c r="M103" s="59"/>
      <c r="N103" s="59"/>
      <c r="O103" s="59"/>
    </row>
    <row r="104" spans="1:16">
      <c r="D104" s="59"/>
      <c r="E104" s="59"/>
      <c r="F104" s="59"/>
      <c r="G104" s="59"/>
      <c r="H104" s="59"/>
      <c r="I104" s="59"/>
      <c r="J104" s="59"/>
      <c r="K104" s="59"/>
      <c r="L104" s="59"/>
      <c r="M104" s="59"/>
      <c r="N104" s="59"/>
      <c r="O104" s="59"/>
    </row>
    <row r="105" spans="1:16">
      <c r="D105" s="59"/>
      <c r="E105" s="59"/>
      <c r="F105" s="59"/>
      <c r="G105" s="59"/>
      <c r="H105" s="59"/>
      <c r="I105" s="59"/>
      <c r="J105" s="59"/>
      <c r="K105" s="59"/>
      <c r="L105" s="59"/>
      <c r="M105" s="59"/>
      <c r="N105" s="59"/>
      <c r="O105" s="59"/>
    </row>
    <row r="106" spans="1:16">
      <c r="D106" s="59"/>
      <c r="E106" s="59"/>
      <c r="F106" s="59"/>
      <c r="G106" s="59"/>
      <c r="H106" s="59"/>
      <c r="I106" s="59"/>
      <c r="J106" s="59"/>
      <c r="K106" s="59"/>
      <c r="L106" s="59"/>
      <c r="M106" s="59"/>
      <c r="N106" s="59"/>
      <c r="O106" s="59"/>
    </row>
    <row r="107" spans="1:16">
      <c r="D107" s="59"/>
      <c r="E107" s="59"/>
      <c r="F107" s="59"/>
      <c r="G107" s="59"/>
      <c r="H107" s="59"/>
      <c r="I107" s="59"/>
      <c r="J107" s="59"/>
      <c r="K107" s="59"/>
      <c r="L107" s="59"/>
      <c r="M107" s="59"/>
      <c r="N107" s="59"/>
      <c r="O107" s="59"/>
    </row>
    <row r="108" spans="1:16">
      <c r="D108" s="59"/>
      <c r="E108" s="59"/>
      <c r="F108" s="59"/>
      <c r="G108" s="59"/>
      <c r="H108" s="59"/>
      <c r="I108" s="59"/>
      <c r="J108" s="59"/>
      <c r="K108" s="59"/>
      <c r="L108" s="59"/>
      <c r="M108" s="59"/>
      <c r="N108" s="59"/>
      <c r="O108" s="59"/>
    </row>
    <row r="109" spans="1:16">
      <c r="D109" s="59"/>
      <c r="E109" s="59"/>
      <c r="F109" s="59"/>
      <c r="G109" s="59"/>
      <c r="H109" s="59"/>
      <c r="I109" s="59"/>
      <c r="J109" s="59"/>
      <c r="K109" s="59"/>
      <c r="L109" s="59"/>
      <c r="M109" s="59"/>
      <c r="N109" s="59"/>
      <c r="O109" s="59"/>
    </row>
    <row r="110" spans="1:16">
      <c r="D110" s="59"/>
      <c r="E110" s="59"/>
      <c r="F110" s="59"/>
      <c r="G110" s="59"/>
      <c r="H110" s="59"/>
      <c r="I110" s="59"/>
      <c r="J110" s="59"/>
      <c r="K110" s="59"/>
      <c r="L110" s="59"/>
      <c r="M110" s="59"/>
      <c r="N110" s="59"/>
      <c r="O110" s="59"/>
    </row>
    <row r="111" spans="1:16">
      <c r="D111" s="59"/>
      <c r="E111" s="59"/>
      <c r="F111" s="59"/>
      <c r="G111" s="59"/>
      <c r="H111" s="59"/>
      <c r="I111" s="59"/>
      <c r="J111" s="59"/>
      <c r="K111" s="59"/>
      <c r="L111" s="59"/>
      <c r="M111" s="59"/>
      <c r="N111" s="59"/>
      <c r="O111" s="59"/>
    </row>
    <row r="112" spans="1:16">
      <c r="D112" s="59"/>
      <c r="E112" s="59"/>
      <c r="F112" s="59"/>
      <c r="G112" s="59"/>
      <c r="H112" s="59"/>
      <c r="I112" s="59"/>
      <c r="J112" s="59"/>
      <c r="K112" s="59"/>
      <c r="L112" s="59"/>
      <c r="M112" s="59"/>
      <c r="N112" s="59"/>
      <c r="O112" s="59"/>
    </row>
    <row r="113" s="59" customFormat="1"/>
    <row r="114" s="59" customFormat="1"/>
    <row r="115" s="59" customFormat="1"/>
    <row r="116" s="59" customFormat="1"/>
    <row r="117" s="59" customFormat="1"/>
    <row r="118" s="59" customFormat="1"/>
    <row r="119" s="59" customFormat="1"/>
    <row r="120" s="59" customFormat="1"/>
    <row r="121" s="59" customFormat="1"/>
    <row r="122" s="59" customFormat="1"/>
    <row r="123" s="59" customFormat="1"/>
    <row r="124" s="59" customFormat="1"/>
    <row r="125" s="59" customFormat="1"/>
    <row r="126" s="59" customFormat="1"/>
    <row r="127" s="59" customFormat="1"/>
    <row r="128" s="59" customFormat="1"/>
    <row r="129" s="59" customFormat="1"/>
    <row r="130" s="59" customFormat="1"/>
    <row r="131" s="59" customFormat="1"/>
    <row r="132" s="59" customFormat="1"/>
    <row r="133" s="59" customFormat="1"/>
    <row r="134" s="59" customFormat="1"/>
    <row r="135" s="59" customFormat="1"/>
    <row r="136" s="59" customFormat="1"/>
    <row r="137" s="59" customFormat="1"/>
    <row r="138" s="59" customFormat="1"/>
    <row r="139" s="59" customFormat="1"/>
    <row r="140" s="59" customFormat="1"/>
    <row r="141" s="59" customFormat="1"/>
    <row r="142" s="59" customFormat="1"/>
    <row r="143" s="59" customFormat="1"/>
    <row r="144" s="59" customFormat="1"/>
    <row r="145" s="59" customFormat="1"/>
    <row r="146" s="59" customFormat="1"/>
    <row r="147" s="59" customFormat="1"/>
    <row r="148" s="59" customFormat="1"/>
    <row r="149" s="59" customFormat="1"/>
    <row r="150" s="59" customFormat="1"/>
    <row r="151" s="59" customFormat="1"/>
    <row r="152" s="59" customFormat="1"/>
    <row r="153" s="59" customFormat="1"/>
    <row r="154" s="59" customFormat="1"/>
    <row r="155" s="59" customFormat="1"/>
    <row r="156" s="59" customFormat="1"/>
    <row r="157" s="59" customFormat="1"/>
    <row r="158" s="59" customFormat="1"/>
    <row r="159" s="59" customFormat="1"/>
    <row r="160" s="59" customFormat="1"/>
    <row r="161" s="59" customFormat="1"/>
    <row r="162" s="59" customFormat="1"/>
    <row r="163" s="59" customFormat="1"/>
    <row r="164" s="59" customFormat="1"/>
    <row r="165" s="59" customFormat="1"/>
    <row r="166" s="59" customFormat="1"/>
    <row r="167" s="59" customFormat="1"/>
    <row r="168" s="59" customFormat="1"/>
    <row r="169" s="59" customFormat="1"/>
    <row r="170" s="59" customFormat="1"/>
    <row r="171" s="59" customFormat="1"/>
    <row r="172" s="59" customFormat="1"/>
    <row r="173" s="59" customFormat="1"/>
    <row r="174" s="59" customFormat="1"/>
    <row r="175" s="59" customFormat="1"/>
    <row r="176" s="59" customFormat="1"/>
    <row r="177" s="59" customFormat="1"/>
    <row r="178" s="59" customFormat="1"/>
    <row r="179" s="59" customFormat="1"/>
    <row r="180" s="59" customFormat="1"/>
    <row r="181" s="59" customFormat="1"/>
    <row r="182" s="59" customFormat="1"/>
    <row r="183" s="59" customFormat="1"/>
    <row r="184" s="59" customFormat="1"/>
    <row r="185" s="59" customFormat="1"/>
    <row r="186" s="59" customFormat="1"/>
    <row r="187" s="59" customFormat="1"/>
    <row r="188" s="59" customFormat="1"/>
    <row r="189" s="59" customFormat="1"/>
    <row r="190" s="59" customFormat="1"/>
    <row r="191" s="59" customFormat="1"/>
    <row r="192" s="59" customFormat="1"/>
    <row r="193" s="59" customFormat="1"/>
    <row r="194" s="59" customFormat="1"/>
    <row r="195" s="59" customFormat="1"/>
    <row r="196" s="59" customFormat="1"/>
    <row r="197" s="59" customFormat="1"/>
    <row r="198" s="59" customFormat="1"/>
    <row r="199" s="59" customFormat="1"/>
    <row r="200" s="59" customFormat="1"/>
    <row r="201" s="59" customFormat="1"/>
    <row r="202" s="59" customFormat="1"/>
    <row r="203" s="59" customFormat="1"/>
    <row r="204" s="59" customFormat="1"/>
    <row r="205" s="59" customFormat="1"/>
    <row r="206" s="59" customFormat="1"/>
    <row r="207" s="59" customFormat="1"/>
    <row r="208" s="59" customFormat="1"/>
    <row r="209" s="59" customFormat="1"/>
    <row r="210" s="59" customFormat="1"/>
    <row r="211" s="59" customFormat="1"/>
    <row r="212" s="59" customFormat="1"/>
    <row r="213" s="59" customFormat="1"/>
    <row r="214" s="59" customFormat="1"/>
    <row r="215" s="59" customFormat="1"/>
    <row r="216" s="59" customFormat="1"/>
    <row r="217" s="59" customFormat="1"/>
    <row r="218" s="59" customFormat="1"/>
    <row r="219" s="59" customFormat="1"/>
    <row r="220" s="59" customFormat="1"/>
    <row r="221" s="59" customFormat="1"/>
    <row r="222" s="59" customFormat="1"/>
    <row r="223" s="59" customFormat="1"/>
    <row r="224" s="59" customFormat="1"/>
    <row r="225" s="59" customFormat="1"/>
    <row r="226" s="59" customFormat="1"/>
    <row r="227" s="59" customFormat="1"/>
    <row r="228" s="59" customFormat="1"/>
    <row r="229" s="59" customFormat="1"/>
    <row r="230" s="59" customFormat="1"/>
    <row r="231" s="59" customFormat="1"/>
    <row r="232" s="59" customFormat="1"/>
    <row r="233" s="59" customFormat="1"/>
    <row r="234" s="59" customFormat="1"/>
    <row r="235" s="59" customFormat="1"/>
    <row r="236" s="59" customFormat="1"/>
    <row r="237" s="59" customFormat="1"/>
    <row r="238" s="59" customFormat="1"/>
    <row r="239" s="59" customFormat="1"/>
    <row r="240" s="59" customFormat="1"/>
    <row r="241" s="59" customFormat="1"/>
    <row r="242" s="59" customFormat="1"/>
    <row r="243" s="59" customFormat="1"/>
    <row r="244" s="59" customFormat="1"/>
    <row r="245" s="59" customFormat="1"/>
    <row r="246" s="59" customFormat="1"/>
    <row r="247" s="59" customFormat="1"/>
    <row r="248" s="59" customFormat="1"/>
    <row r="249" s="59" customFormat="1"/>
    <row r="250" s="59" customFormat="1"/>
    <row r="251" s="59" customFormat="1"/>
    <row r="252" s="59" customFormat="1"/>
    <row r="253" s="59" customFormat="1"/>
    <row r="254" s="59" customFormat="1"/>
    <row r="255" s="59" customFormat="1"/>
    <row r="256" s="59" customFormat="1"/>
    <row r="257" s="59" customFormat="1"/>
    <row r="258" s="59" customFormat="1"/>
    <row r="259" s="59" customFormat="1"/>
    <row r="260" s="59" customFormat="1"/>
    <row r="261" s="59" customFormat="1"/>
    <row r="262" s="59" customFormat="1"/>
    <row r="263" s="59" customFormat="1"/>
    <row r="264" s="59" customFormat="1"/>
    <row r="265" s="59" customFormat="1"/>
    <row r="266" s="59" customFormat="1"/>
    <row r="267" s="59" customFormat="1"/>
    <row r="268" s="59" customFormat="1"/>
    <row r="269" s="59" customFormat="1"/>
    <row r="270" s="59" customFormat="1"/>
    <row r="271" s="59" customFormat="1"/>
    <row r="272" s="59" customFormat="1"/>
    <row r="273" s="59" customFormat="1"/>
    <row r="274" s="59" customFormat="1"/>
    <row r="275" s="59" customFormat="1"/>
    <row r="276" s="59" customFormat="1"/>
    <row r="277" s="59" customFormat="1"/>
    <row r="278" s="59" customFormat="1"/>
    <row r="279" s="59" customFormat="1"/>
    <row r="280" s="59" customFormat="1"/>
    <row r="281" s="59" customFormat="1"/>
    <row r="282" s="59" customFormat="1"/>
    <row r="283" s="59" customFormat="1"/>
    <row r="284" s="59" customFormat="1"/>
    <row r="285" s="59" customFormat="1"/>
    <row r="286" s="59" customFormat="1"/>
    <row r="287" s="59" customFormat="1"/>
    <row r="288" s="59" customFormat="1"/>
    <row r="289" s="59" customFormat="1"/>
    <row r="290" s="59" customFormat="1"/>
    <row r="291" s="59" customFormat="1"/>
    <row r="292" s="59" customFormat="1"/>
    <row r="293" s="59" customFormat="1"/>
    <row r="294" s="59" customFormat="1"/>
    <row r="295" s="59" customFormat="1"/>
    <row r="296" s="59" customFormat="1"/>
    <row r="297" s="59" customFormat="1"/>
    <row r="298" s="59" customFormat="1"/>
    <row r="299" s="59" customFormat="1"/>
    <row r="300" s="59" customFormat="1"/>
    <row r="301" s="59" customFormat="1"/>
    <row r="302" s="59" customFormat="1"/>
    <row r="303" s="59" customFormat="1"/>
    <row r="304" s="59" customFormat="1"/>
    <row r="305" s="59" customFormat="1"/>
    <row r="306" s="59" customFormat="1"/>
    <row r="307" s="59" customFormat="1"/>
    <row r="308" s="59" customFormat="1"/>
    <row r="309" s="59" customFormat="1"/>
    <row r="310" s="59" customFormat="1"/>
    <row r="311" s="59" customFormat="1"/>
    <row r="312" s="59" customFormat="1"/>
    <row r="313" s="59" customFormat="1"/>
    <row r="314" s="59" customFormat="1"/>
    <row r="315" s="59" customFormat="1"/>
    <row r="316" s="59" customFormat="1"/>
    <row r="317" s="59" customFormat="1"/>
    <row r="318" s="59" customFormat="1"/>
    <row r="319" s="59" customFormat="1"/>
    <row r="320" s="59" customFormat="1"/>
    <row r="321" s="59" customFormat="1"/>
    <row r="322" s="59" customFormat="1"/>
    <row r="323" s="59" customFormat="1"/>
    <row r="324" s="59" customFormat="1"/>
    <row r="325" s="59" customFormat="1"/>
    <row r="326" s="59" customFormat="1"/>
    <row r="327" s="59" customFormat="1"/>
    <row r="328" s="59" customFormat="1"/>
    <row r="329" s="59" customFormat="1"/>
    <row r="330" s="59" customFormat="1"/>
    <row r="331" s="59" customFormat="1"/>
    <row r="332" s="59" customFormat="1"/>
    <row r="333" s="59" customFormat="1"/>
    <row r="334" s="59" customFormat="1"/>
    <row r="335" s="59" customFormat="1"/>
    <row r="336" s="59" customFormat="1"/>
    <row r="337" s="59" customFormat="1"/>
    <row r="338" s="59" customFormat="1"/>
    <row r="339" s="59" customFormat="1"/>
    <row r="340" s="59" customFormat="1"/>
    <row r="341" s="59" customFormat="1"/>
    <row r="342" s="59" customFormat="1"/>
    <row r="343" s="59" customFormat="1"/>
    <row r="344" s="59" customFormat="1"/>
    <row r="345" s="59" customFormat="1"/>
    <row r="346" s="59" customFormat="1"/>
    <row r="347" s="59" customFormat="1"/>
    <row r="348" s="59" customFormat="1"/>
    <row r="349" s="59" customFormat="1"/>
    <row r="350" s="59" customFormat="1"/>
    <row r="351" s="59" customFormat="1"/>
    <row r="352" s="59" customFormat="1"/>
    <row r="353" s="59" customFormat="1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C7592-C933-4424-96AE-FD9EF1CBD940}">
  <dimension ref="A1:P353"/>
  <sheetViews>
    <sheetView workbookViewId="0">
      <selection activeCell="C3" sqref="C3:C97"/>
    </sheetView>
  </sheetViews>
  <sheetFormatPr defaultRowHeight="16"/>
  <cols>
    <col min="1" max="1" width="7.6328125" style="43" customWidth="1"/>
    <col min="2" max="2" width="9.36328125" style="43" customWidth="1"/>
    <col min="3" max="3" width="15.1796875" style="43" customWidth="1"/>
    <col min="4" max="15" width="8.7265625" style="43"/>
    <col min="16" max="16" width="9.1796875" style="59" bestFit="1" customWidth="1"/>
    <col min="17" max="16384" width="8.7265625" style="43"/>
  </cols>
  <sheetData>
    <row r="1" spans="1:16">
      <c r="A1" s="42" t="s">
        <v>304</v>
      </c>
    </row>
    <row r="2" spans="1:16" ht="24.5" customHeight="1">
      <c r="A2" s="55" t="s">
        <v>45</v>
      </c>
      <c r="B2" s="60" t="s">
        <v>5</v>
      </c>
      <c r="C2" s="55" t="s">
        <v>46</v>
      </c>
      <c r="D2" s="61" t="s">
        <v>42</v>
      </c>
      <c r="E2" s="62" t="s">
        <v>43</v>
      </c>
      <c r="F2" s="62" t="s">
        <v>47</v>
      </c>
      <c r="G2" s="62" t="s">
        <v>48</v>
      </c>
      <c r="H2" s="62" t="s">
        <v>144</v>
      </c>
      <c r="I2" s="62" t="s">
        <v>145</v>
      </c>
      <c r="J2" s="62" t="s">
        <v>146</v>
      </c>
      <c r="K2" s="62" t="s">
        <v>147</v>
      </c>
      <c r="L2" s="62" t="s">
        <v>148</v>
      </c>
      <c r="M2" s="62" t="s">
        <v>149</v>
      </c>
      <c r="N2" s="62" t="s">
        <v>150</v>
      </c>
      <c r="O2" s="62" t="s">
        <v>151</v>
      </c>
      <c r="P2" s="63" t="s">
        <v>0</v>
      </c>
    </row>
    <row r="3" spans="1:16" ht="19" customHeight="1">
      <c r="A3" s="3">
        <v>1</v>
      </c>
      <c r="B3" s="3" t="s">
        <v>4</v>
      </c>
      <c r="C3" s="3"/>
      <c r="D3" s="64"/>
      <c r="E3" s="64"/>
      <c r="F3" s="64"/>
      <c r="G3" s="64"/>
      <c r="H3" s="65"/>
      <c r="I3" s="65"/>
      <c r="J3" s="65"/>
      <c r="K3" s="65"/>
      <c r="L3" s="65"/>
      <c r="M3" s="65"/>
      <c r="N3" s="65"/>
      <c r="O3" s="65"/>
      <c r="P3" s="66">
        <f>SUM(D3:O3)</f>
        <v>0</v>
      </c>
    </row>
    <row r="4" spans="1:16">
      <c r="A4" s="3">
        <v>2</v>
      </c>
      <c r="B4" s="3" t="s">
        <v>4</v>
      </c>
      <c r="C4" s="3"/>
      <c r="D4" s="64"/>
      <c r="E4" s="64"/>
      <c r="F4" s="64"/>
      <c r="G4" s="64"/>
      <c r="H4" s="65"/>
      <c r="I4" s="65"/>
      <c r="J4" s="65"/>
      <c r="K4" s="65"/>
      <c r="L4" s="65"/>
      <c r="M4" s="65"/>
      <c r="N4" s="65"/>
      <c r="O4" s="65"/>
      <c r="P4" s="66">
        <f t="shared" ref="P4:P67" si="0">SUM(D4:O4)</f>
        <v>0</v>
      </c>
    </row>
    <row r="5" spans="1:16">
      <c r="A5" s="3">
        <v>3</v>
      </c>
      <c r="B5" s="3" t="s">
        <v>4</v>
      </c>
      <c r="C5" s="3"/>
      <c r="D5" s="64"/>
      <c r="E5" s="64"/>
      <c r="F5" s="64"/>
      <c r="G5" s="64"/>
      <c r="H5" s="65"/>
      <c r="I5" s="65"/>
      <c r="J5" s="65"/>
      <c r="K5" s="65"/>
      <c r="L5" s="65"/>
      <c r="M5" s="65"/>
      <c r="N5" s="65"/>
      <c r="O5" s="65"/>
      <c r="P5" s="66">
        <f t="shared" si="0"/>
        <v>0</v>
      </c>
    </row>
    <row r="6" spans="1:16">
      <c r="A6" s="3">
        <v>4</v>
      </c>
      <c r="B6" s="3" t="s">
        <v>4</v>
      </c>
      <c r="C6" s="3"/>
      <c r="D6" s="64"/>
      <c r="E6" s="64"/>
      <c r="F6" s="64"/>
      <c r="G6" s="64"/>
      <c r="H6" s="65"/>
      <c r="I6" s="65"/>
      <c r="J6" s="65"/>
      <c r="K6" s="65"/>
      <c r="L6" s="65"/>
      <c r="M6" s="65"/>
      <c r="N6" s="65"/>
      <c r="O6" s="65"/>
      <c r="P6" s="66">
        <f t="shared" si="0"/>
        <v>0</v>
      </c>
    </row>
    <row r="7" spans="1:16">
      <c r="A7" s="3">
        <v>5</v>
      </c>
      <c r="B7" s="3" t="s">
        <v>4</v>
      </c>
      <c r="C7" s="3"/>
      <c r="D7" s="64"/>
      <c r="E7" s="64"/>
      <c r="F7" s="64"/>
      <c r="G7" s="64"/>
      <c r="H7" s="65"/>
      <c r="I7" s="65"/>
      <c r="J7" s="65"/>
      <c r="K7" s="65"/>
      <c r="L7" s="65"/>
      <c r="M7" s="65"/>
      <c r="N7" s="65"/>
      <c r="O7" s="65"/>
      <c r="P7" s="66">
        <f t="shared" si="0"/>
        <v>0</v>
      </c>
    </row>
    <row r="8" spans="1:16">
      <c r="A8" s="3">
        <v>6</v>
      </c>
      <c r="B8" s="3" t="s">
        <v>4</v>
      </c>
      <c r="C8" s="3"/>
      <c r="D8" s="64"/>
      <c r="E8" s="64"/>
      <c r="F8" s="64"/>
      <c r="G8" s="64"/>
      <c r="H8" s="65"/>
      <c r="I8" s="65"/>
      <c r="J8" s="65"/>
      <c r="K8" s="65"/>
      <c r="L8" s="65"/>
      <c r="M8" s="65"/>
      <c r="N8" s="65"/>
      <c r="O8" s="65"/>
      <c r="P8" s="66">
        <f t="shared" si="0"/>
        <v>0</v>
      </c>
    </row>
    <row r="9" spans="1:16">
      <c r="A9" s="3">
        <v>7</v>
      </c>
      <c r="B9" s="3" t="s">
        <v>4</v>
      </c>
      <c r="C9" s="3"/>
      <c r="D9" s="64"/>
      <c r="E9" s="64"/>
      <c r="F9" s="64"/>
      <c r="G9" s="64"/>
      <c r="H9" s="65"/>
      <c r="I9" s="65"/>
      <c r="J9" s="65"/>
      <c r="K9" s="65"/>
      <c r="L9" s="65"/>
      <c r="M9" s="65"/>
      <c r="N9" s="65"/>
      <c r="O9" s="65"/>
      <c r="P9" s="66">
        <f t="shared" si="0"/>
        <v>0</v>
      </c>
    </row>
    <row r="10" spans="1:16">
      <c r="A10" s="3">
        <v>8</v>
      </c>
      <c r="B10" s="3" t="s">
        <v>4</v>
      </c>
      <c r="C10" s="3"/>
      <c r="D10" s="64"/>
      <c r="E10" s="64"/>
      <c r="F10" s="64"/>
      <c r="G10" s="64"/>
      <c r="H10" s="65"/>
      <c r="I10" s="65"/>
      <c r="J10" s="65"/>
      <c r="K10" s="65"/>
      <c r="L10" s="65"/>
      <c r="M10" s="65"/>
      <c r="N10" s="65"/>
      <c r="O10" s="65"/>
      <c r="P10" s="66">
        <f t="shared" si="0"/>
        <v>0</v>
      </c>
    </row>
    <row r="11" spans="1:16">
      <c r="A11" s="3">
        <v>9</v>
      </c>
      <c r="B11" s="3" t="s">
        <v>4</v>
      </c>
      <c r="C11" s="3"/>
      <c r="D11" s="64"/>
      <c r="E11" s="64"/>
      <c r="F11" s="64"/>
      <c r="G11" s="64"/>
      <c r="H11" s="65"/>
      <c r="I11" s="65"/>
      <c r="J11" s="65"/>
      <c r="K11" s="65"/>
      <c r="L11" s="65"/>
      <c r="M11" s="65"/>
      <c r="N11" s="65"/>
      <c r="O11" s="65"/>
      <c r="P11" s="66">
        <f t="shared" si="0"/>
        <v>0</v>
      </c>
    </row>
    <row r="12" spans="1:16">
      <c r="A12" s="3">
        <v>10</v>
      </c>
      <c r="B12" s="3" t="s">
        <v>4</v>
      </c>
      <c r="C12" s="3"/>
      <c r="D12" s="64"/>
      <c r="E12" s="64"/>
      <c r="F12" s="64"/>
      <c r="G12" s="64"/>
      <c r="H12" s="65"/>
      <c r="I12" s="65"/>
      <c r="J12" s="65"/>
      <c r="K12" s="65"/>
      <c r="L12" s="65"/>
      <c r="M12" s="65"/>
      <c r="N12" s="65"/>
      <c r="O12" s="65"/>
      <c r="P12" s="66">
        <f t="shared" si="0"/>
        <v>0</v>
      </c>
    </row>
    <row r="13" spans="1:16">
      <c r="A13" s="3">
        <v>11</v>
      </c>
      <c r="B13" s="3" t="s">
        <v>4</v>
      </c>
      <c r="C13" s="3"/>
      <c r="D13" s="64"/>
      <c r="E13" s="64"/>
      <c r="F13" s="64"/>
      <c r="G13" s="64"/>
      <c r="H13" s="65"/>
      <c r="I13" s="65"/>
      <c r="J13" s="65"/>
      <c r="K13" s="65"/>
      <c r="L13" s="65"/>
      <c r="M13" s="65"/>
      <c r="N13" s="65"/>
      <c r="O13" s="65"/>
      <c r="P13" s="66">
        <f t="shared" si="0"/>
        <v>0</v>
      </c>
    </row>
    <row r="14" spans="1:16">
      <c r="A14" s="3">
        <v>12</v>
      </c>
      <c r="B14" s="3" t="s">
        <v>4</v>
      </c>
      <c r="C14" s="3"/>
      <c r="D14" s="64"/>
      <c r="E14" s="64"/>
      <c r="F14" s="64"/>
      <c r="G14" s="64"/>
      <c r="H14" s="65"/>
      <c r="I14" s="65"/>
      <c r="J14" s="65"/>
      <c r="K14" s="65"/>
      <c r="L14" s="65"/>
      <c r="M14" s="65"/>
      <c r="N14" s="65"/>
      <c r="O14" s="65"/>
      <c r="P14" s="66">
        <f t="shared" si="0"/>
        <v>0</v>
      </c>
    </row>
    <row r="15" spans="1:16">
      <c r="A15" s="3">
        <v>13</v>
      </c>
      <c r="B15" s="3" t="s">
        <v>4</v>
      </c>
      <c r="C15" s="3"/>
      <c r="D15" s="64"/>
      <c r="E15" s="64"/>
      <c r="F15" s="64"/>
      <c r="G15" s="64"/>
      <c r="H15" s="65"/>
      <c r="I15" s="65"/>
      <c r="J15" s="65"/>
      <c r="K15" s="65"/>
      <c r="L15" s="65"/>
      <c r="M15" s="65"/>
      <c r="N15" s="65"/>
      <c r="O15" s="65"/>
      <c r="P15" s="66">
        <f t="shared" si="0"/>
        <v>0</v>
      </c>
    </row>
    <row r="16" spans="1:16">
      <c r="A16" s="3">
        <v>14</v>
      </c>
      <c r="B16" s="3" t="s">
        <v>4</v>
      </c>
      <c r="C16" s="3"/>
      <c r="D16" s="64"/>
      <c r="E16" s="64"/>
      <c r="F16" s="64"/>
      <c r="G16" s="64"/>
      <c r="H16" s="65"/>
      <c r="I16" s="65"/>
      <c r="J16" s="65"/>
      <c r="K16" s="65"/>
      <c r="L16" s="65"/>
      <c r="M16" s="65"/>
      <c r="N16" s="65"/>
      <c r="O16" s="65"/>
      <c r="P16" s="66">
        <f t="shared" si="0"/>
        <v>0</v>
      </c>
    </row>
    <row r="17" spans="1:16">
      <c r="A17" s="3">
        <v>15</v>
      </c>
      <c r="B17" s="3" t="s">
        <v>4</v>
      </c>
      <c r="C17" s="3"/>
      <c r="D17" s="64"/>
      <c r="E17" s="64"/>
      <c r="F17" s="64"/>
      <c r="G17" s="64"/>
      <c r="H17" s="65"/>
      <c r="I17" s="65"/>
      <c r="J17" s="65"/>
      <c r="K17" s="65"/>
      <c r="L17" s="65"/>
      <c r="M17" s="65"/>
      <c r="N17" s="65"/>
      <c r="O17" s="65"/>
      <c r="P17" s="66">
        <f t="shared" si="0"/>
        <v>0</v>
      </c>
    </row>
    <row r="18" spans="1:16">
      <c r="A18" s="3">
        <v>16</v>
      </c>
      <c r="B18" s="3" t="s">
        <v>4</v>
      </c>
      <c r="C18" s="3"/>
      <c r="D18" s="64"/>
      <c r="E18" s="64"/>
      <c r="F18" s="64"/>
      <c r="G18" s="64"/>
      <c r="H18" s="65"/>
      <c r="I18" s="65"/>
      <c r="J18" s="65"/>
      <c r="K18" s="65"/>
      <c r="L18" s="65"/>
      <c r="M18" s="65"/>
      <c r="N18" s="65"/>
      <c r="O18" s="65"/>
      <c r="P18" s="66">
        <f t="shared" si="0"/>
        <v>0</v>
      </c>
    </row>
    <row r="19" spans="1:16">
      <c r="A19" s="3">
        <v>17</v>
      </c>
      <c r="B19" s="3" t="s">
        <v>4</v>
      </c>
      <c r="C19" s="3"/>
      <c r="D19" s="64"/>
      <c r="E19" s="64"/>
      <c r="F19" s="64"/>
      <c r="G19" s="64"/>
      <c r="H19" s="65"/>
      <c r="I19" s="65"/>
      <c r="J19" s="65"/>
      <c r="K19" s="65"/>
      <c r="L19" s="65"/>
      <c r="M19" s="65"/>
      <c r="N19" s="65"/>
      <c r="O19" s="65"/>
      <c r="P19" s="66">
        <f t="shared" si="0"/>
        <v>0</v>
      </c>
    </row>
    <row r="20" spans="1:16">
      <c r="A20" s="3">
        <v>18</v>
      </c>
      <c r="B20" s="3" t="s">
        <v>4</v>
      </c>
      <c r="C20" s="3"/>
      <c r="D20" s="64"/>
      <c r="E20" s="64"/>
      <c r="F20" s="64"/>
      <c r="G20" s="64"/>
      <c r="H20" s="65"/>
      <c r="I20" s="65"/>
      <c r="J20" s="65"/>
      <c r="K20" s="65"/>
      <c r="L20" s="65"/>
      <c r="M20" s="65"/>
      <c r="N20" s="65"/>
      <c r="O20" s="65"/>
      <c r="P20" s="66">
        <f t="shared" si="0"/>
        <v>0</v>
      </c>
    </row>
    <row r="21" spans="1:16">
      <c r="A21" s="3">
        <v>19</v>
      </c>
      <c r="B21" s="3" t="s">
        <v>4</v>
      </c>
      <c r="C21" s="3"/>
      <c r="D21" s="64"/>
      <c r="E21" s="64"/>
      <c r="F21" s="64"/>
      <c r="G21" s="64"/>
      <c r="H21" s="65"/>
      <c r="I21" s="65"/>
      <c r="J21" s="65"/>
      <c r="K21" s="65"/>
      <c r="L21" s="65"/>
      <c r="M21" s="65"/>
      <c r="N21" s="65"/>
      <c r="O21" s="65"/>
      <c r="P21" s="66">
        <f t="shared" si="0"/>
        <v>0</v>
      </c>
    </row>
    <row r="22" spans="1:16">
      <c r="A22" s="3">
        <v>20</v>
      </c>
      <c r="B22" s="3" t="s">
        <v>4</v>
      </c>
      <c r="C22" s="3"/>
      <c r="D22" s="64"/>
      <c r="E22" s="64"/>
      <c r="F22" s="64"/>
      <c r="G22" s="64"/>
      <c r="H22" s="65"/>
      <c r="I22" s="65"/>
      <c r="J22" s="65"/>
      <c r="K22" s="65"/>
      <c r="L22" s="65"/>
      <c r="M22" s="65"/>
      <c r="N22" s="65"/>
      <c r="O22" s="65"/>
      <c r="P22" s="66">
        <f t="shared" si="0"/>
        <v>0</v>
      </c>
    </row>
    <row r="23" spans="1:16">
      <c r="A23" s="3">
        <v>21</v>
      </c>
      <c r="B23" s="3" t="s">
        <v>4</v>
      </c>
      <c r="C23" s="3"/>
      <c r="D23" s="64"/>
      <c r="E23" s="64"/>
      <c r="F23" s="64"/>
      <c r="G23" s="64"/>
      <c r="H23" s="65"/>
      <c r="I23" s="65"/>
      <c r="J23" s="65"/>
      <c r="K23" s="65"/>
      <c r="L23" s="65"/>
      <c r="M23" s="65"/>
      <c r="N23" s="65"/>
      <c r="O23" s="65"/>
      <c r="P23" s="66">
        <f t="shared" si="0"/>
        <v>0</v>
      </c>
    </row>
    <row r="24" spans="1:16">
      <c r="A24" s="3">
        <v>22</v>
      </c>
      <c r="B24" s="3" t="s">
        <v>4</v>
      </c>
      <c r="C24" s="3"/>
      <c r="D24" s="64"/>
      <c r="E24" s="64"/>
      <c r="F24" s="64"/>
      <c r="G24" s="64"/>
      <c r="H24" s="65"/>
      <c r="I24" s="65"/>
      <c r="J24" s="65"/>
      <c r="K24" s="65"/>
      <c r="L24" s="65"/>
      <c r="M24" s="65"/>
      <c r="N24" s="65"/>
      <c r="O24" s="65"/>
      <c r="P24" s="66">
        <f t="shared" si="0"/>
        <v>0</v>
      </c>
    </row>
    <row r="25" spans="1:16">
      <c r="A25" s="3">
        <v>23</v>
      </c>
      <c r="B25" s="3" t="s">
        <v>4</v>
      </c>
      <c r="C25" s="3"/>
      <c r="D25" s="64"/>
      <c r="E25" s="64"/>
      <c r="F25" s="64"/>
      <c r="G25" s="64"/>
      <c r="H25" s="65"/>
      <c r="I25" s="65"/>
      <c r="J25" s="65"/>
      <c r="K25" s="65"/>
      <c r="L25" s="65"/>
      <c r="M25" s="65"/>
      <c r="N25" s="65"/>
      <c r="O25" s="65"/>
      <c r="P25" s="66">
        <f t="shared" si="0"/>
        <v>0</v>
      </c>
    </row>
    <row r="26" spans="1:16">
      <c r="A26" s="3">
        <v>24</v>
      </c>
      <c r="B26" s="3" t="s">
        <v>4</v>
      </c>
      <c r="C26" s="3"/>
      <c r="D26" s="64"/>
      <c r="E26" s="64"/>
      <c r="F26" s="64"/>
      <c r="G26" s="64"/>
      <c r="H26" s="65"/>
      <c r="I26" s="65"/>
      <c r="J26" s="65"/>
      <c r="K26" s="65"/>
      <c r="L26" s="65"/>
      <c r="M26" s="65"/>
      <c r="N26" s="65"/>
      <c r="O26" s="65"/>
      <c r="P26" s="66">
        <f t="shared" si="0"/>
        <v>0</v>
      </c>
    </row>
    <row r="27" spans="1:16">
      <c r="A27" s="3">
        <v>25</v>
      </c>
      <c r="B27" s="3" t="s">
        <v>4</v>
      </c>
      <c r="C27" s="3"/>
      <c r="D27" s="64"/>
      <c r="E27" s="64"/>
      <c r="F27" s="64"/>
      <c r="G27" s="64"/>
      <c r="H27" s="65"/>
      <c r="I27" s="65"/>
      <c r="J27" s="65"/>
      <c r="K27" s="65"/>
      <c r="L27" s="65"/>
      <c r="M27" s="65"/>
      <c r="N27" s="65"/>
      <c r="O27" s="65"/>
      <c r="P27" s="66">
        <f t="shared" si="0"/>
        <v>0</v>
      </c>
    </row>
    <row r="28" spans="1:16">
      <c r="A28" s="3">
        <v>26</v>
      </c>
      <c r="B28" s="3" t="s">
        <v>4</v>
      </c>
      <c r="C28" s="3"/>
      <c r="D28" s="64"/>
      <c r="E28" s="64"/>
      <c r="F28" s="64"/>
      <c r="G28" s="64"/>
      <c r="H28" s="65"/>
      <c r="I28" s="65"/>
      <c r="J28" s="65"/>
      <c r="K28" s="65"/>
      <c r="L28" s="65"/>
      <c r="M28" s="65"/>
      <c r="N28" s="65"/>
      <c r="O28" s="65"/>
      <c r="P28" s="66">
        <f t="shared" si="0"/>
        <v>0</v>
      </c>
    </row>
    <row r="29" spans="1:16">
      <c r="A29" s="3">
        <v>27</v>
      </c>
      <c r="B29" s="3" t="s">
        <v>4</v>
      </c>
      <c r="C29" s="3"/>
      <c r="D29" s="64"/>
      <c r="E29" s="64"/>
      <c r="F29" s="64"/>
      <c r="G29" s="64"/>
      <c r="H29" s="65"/>
      <c r="I29" s="65"/>
      <c r="J29" s="65"/>
      <c r="K29" s="65"/>
      <c r="L29" s="65"/>
      <c r="M29" s="65"/>
      <c r="N29" s="65"/>
      <c r="O29" s="65"/>
      <c r="P29" s="66">
        <f t="shared" si="0"/>
        <v>0</v>
      </c>
    </row>
    <row r="30" spans="1:16">
      <c r="A30" s="3">
        <v>28</v>
      </c>
      <c r="B30" s="3" t="s">
        <v>4</v>
      </c>
      <c r="C30" s="3"/>
      <c r="D30" s="64"/>
      <c r="E30" s="64"/>
      <c r="F30" s="64"/>
      <c r="G30" s="64"/>
      <c r="H30" s="65"/>
      <c r="I30" s="65"/>
      <c r="J30" s="65"/>
      <c r="K30" s="65"/>
      <c r="L30" s="65"/>
      <c r="M30" s="65"/>
      <c r="N30" s="65"/>
      <c r="O30" s="65"/>
      <c r="P30" s="66">
        <f t="shared" si="0"/>
        <v>0</v>
      </c>
    </row>
    <row r="31" spans="1:16">
      <c r="A31" s="3">
        <v>29</v>
      </c>
      <c r="B31" s="3" t="s">
        <v>4</v>
      </c>
      <c r="C31" s="3"/>
      <c r="D31" s="64"/>
      <c r="E31" s="64"/>
      <c r="F31" s="64"/>
      <c r="G31" s="64"/>
      <c r="H31" s="65"/>
      <c r="I31" s="65"/>
      <c r="J31" s="65"/>
      <c r="K31" s="65"/>
      <c r="L31" s="65"/>
      <c r="M31" s="65"/>
      <c r="N31" s="65"/>
      <c r="O31" s="65"/>
      <c r="P31" s="66">
        <f t="shared" si="0"/>
        <v>0</v>
      </c>
    </row>
    <row r="32" spans="1:16">
      <c r="A32" s="3">
        <v>30</v>
      </c>
      <c r="B32" s="3" t="s">
        <v>4</v>
      </c>
      <c r="C32" s="3"/>
      <c r="D32" s="64"/>
      <c r="E32" s="64"/>
      <c r="F32" s="64"/>
      <c r="G32" s="64"/>
      <c r="H32" s="65"/>
      <c r="I32" s="65"/>
      <c r="J32" s="65"/>
      <c r="K32" s="65"/>
      <c r="L32" s="65"/>
      <c r="M32" s="65"/>
      <c r="N32" s="65"/>
      <c r="O32" s="65"/>
      <c r="P32" s="66">
        <f t="shared" si="0"/>
        <v>0</v>
      </c>
    </row>
    <row r="33" spans="1:16">
      <c r="A33" s="3">
        <v>31</v>
      </c>
      <c r="B33" s="3" t="s">
        <v>4</v>
      </c>
      <c r="C33" s="3"/>
      <c r="D33" s="64"/>
      <c r="E33" s="64"/>
      <c r="F33" s="64"/>
      <c r="G33" s="64"/>
      <c r="H33" s="65"/>
      <c r="I33" s="65"/>
      <c r="J33" s="65"/>
      <c r="K33" s="65"/>
      <c r="L33" s="65"/>
      <c r="M33" s="65"/>
      <c r="N33" s="65"/>
      <c r="O33" s="65"/>
      <c r="P33" s="66">
        <f t="shared" si="0"/>
        <v>0</v>
      </c>
    </row>
    <row r="34" spans="1:16">
      <c r="A34" s="3">
        <v>32</v>
      </c>
      <c r="B34" s="3" t="s">
        <v>4</v>
      </c>
      <c r="C34" s="3"/>
      <c r="D34" s="64"/>
      <c r="E34" s="64"/>
      <c r="F34" s="64"/>
      <c r="G34" s="64"/>
      <c r="H34" s="65"/>
      <c r="I34" s="65"/>
      <c r="J34" s="65"/>
      <c r="K34" s="65"/>
      <c r="L34" s="65"/>
      <c r="M34" s="65"/>
      <c r="N34" s="65"/>
      <c r="O34" s="65"/>
      <c r="P34" s="66">
        <f t="shared" si="0"/>
        <v>0</v>
      </c>
    </row>
    <row r="35" spans="1:16">
      <c r="A35" s="3">
        <v>33</v>
      </c>
      <c r="B35" s="3" t="s">
        <v>4</v>
      </c>
      <c r="C35" s="3"/>
      <c r="D35" s="64"/>
      <c r="E35" s="64"/>
      <c r="F35" s="64"/>
      <c r="G35" s="64"/>
      <c r="H35" s="65"/>
      <c r="I35" s="65"/>
      <c r="J35" s="65"/>
      <c r="K35" s="65"/>
      <c r="L35" s="65"/>
      <c r="M35" s="65"/>
      <c r="N35" s="65"/>
      <c r="O35" s="65"/>
      <c r="P35" s="66">
        <f t="shared" si="0"/>
        <v>0</v>
      </c>
    </row>
    <row r="36" spans="1:16">
      <c r="A36" s="3">
        <v>34</v>
      </c>
      <c r="B36" s="3" t="s">
        <v>4</v>
      </c>
      <c r="C36" s="3"/>
      <c r="D36" s="64"/>
      <c r="E36" s="64"/>
      <c r="F36" s="64"/>
      <c r="G36" s="64"/>
      <c r="H36" s="65"/>
      <c r="I36" s="65"/>
      <c r="J36" s="65"/>
      <c r="K36" s="65"/>
      <c r="L36" s="65"/>
      <c r="M36" s="65"/>
      <c r="N36" s="65"/>
      <c r="O36" s="65"/>
      <c r="P36" s="66">
        <f t="shared" si="0"/>
        <v>0</v>
      </c>
    </row>
    <row r="37" spans="1:16">
      <c r="A37" s="3">
        <v>35</v>
      </c>
      <c r="B37" s="3" t="s">
        <v>4</v>
      </c>
      <c r="C37" s="3"/>
      <c r="D37" s="64"/>
      <c r="E37" s="64"/>
      <c r="F37" s="64"/>
      <c r="G37" s="64"/>
      <c r="H37" s="65"/>
      <c r="I37" s="65"/>
      <c r="J37" s="65"/>
      <c r="K37" s="65"/>
      <c r="L37" s="65"/>
      <c r="M37" s="65"/>
      <c r="N37" s="65"/>
      <c r="O37" s="65"/>
      <c r="P37" s="66">
        <f t="shared" si="0"/>
        <v>0</v>
      </c>
    </row>
    <row r="38" spans="1:16">
      <c r="A38" s="3">
        <v>36</v>
      </c>
      <c r="B38" s="3" t="s">
        <v>4</v>
      </c>
      <c r="C38" s="3"/>
      <c r="D38" s="64"/>
      <c r="E38" s="64"/>
      <c r="F38" s="64"/>
      <c r="G38" s="64"/>
      <c r="H38" s="65"/>
      <c r="I38" s="65"/>
      <c r="J38" s="65"/>
      <c r="K38" s="65"/>
      <c r="L38" s="65"/>
      <c r="M38" s="65"/>
      <c r="N38" s="65"/>
      <c r="O38" s="65"/>
      <c r="P38" s="66">
        <f t="shared" si="0"/>
        <v>0</v>
      </c>
    </row>
    <row r="39" spans="1:16">
      <c r="A39" s="3">
        <v>37</v>
      </c>
      <c r="B39" s="3" t="s">
        <v>4</v>
      </c>
      <c r="C39" s="3"/>
      <c r="D39" s="64"/>
      <c r="E39" s="64"/>
      <c r="F39" s="64"/>
      <c r="G39" s="64"/>
      <c r="H39" s="65"/>
      <c r="I39" s="65"/>
      <c r="J39" s="65"/>
      <c r="K39" s="65"/>
      <c r="L39" s="65"/>
      <c r="M39" s="65"/>
      <c r="N39" s="65"/>
      <c r="O39" s="65"/>
      <c r="P39" s="66">
        <f t="shared" si="0"/>
        <v>0</v>
      </c>
    </row>
    <row r="40" spans="1:16">
      <c r="A40" s="3">
        <v>38</v>
      </c>
      <c r="B40" s="3" t="s">
        <v>4</v>
      </c>
      <c r="C40" s="3"/>
      <c r="D40" s="64"/>
      <c r="E40" s="64"/>
      <c r="F40" s="64"/>
      <c r="G40" s="64"/>
      <c r="H40" s="65"/>
      <c r="I40" s="65"/>
      <c r="J40" s="65"/>
      <c r="K40" s="65"/>
      <c r="L40" s="65"/>
      <c r="M40" s="65"/>
      <c r="N40" s="65"/>
      <c r="O40" s="65"/>
      <c r="P40" s="66">
        <f t="shared" si="0"/>
        <v>0</v>
      </c>
    </row>
    <row r="41" spans="1:16">
      <c r="A41" s="3">
        <v>39</v>
      </c>
      <c r="B41" s="3" t="s">
        <v>4</v>
      </c>
      <c r="C41" s="3"/>
      <c r="D41" s="64"/>
      <c r="E41" s="64"/>
      <c r="F41" s="64"/>
      <c r="G41" s="64"/>
      <c r="H41" s="65"/>
      <c r="I41" s="65"/>
      <c r="J41" s="65"/>
      <c r="K41" s="65"/>
      <c r="L41" s="65"/>
      <c r="M41" s="65"/>
      <c r="N41" s="65"/>
      <c r="O41" s="65"/>
      <c r="P41" s="66">
        <f t="shared" si="0"/>
        <v>0</v>
      </c>
    </row>
    <row r="42" spans="1:16">
      <c r="A42" s="3">
        <v>40</v>
      </c>
      <c r="B42" s="3" t="s">
        <v>4</v>
      </c>
      <c r="C42" s="3"/>
      <c r="D42" s="64"/>
      <c r="E42" s="64"/>
      <c r="F42" s="64"/>
      <c r="G42" s="64"/>
      <c r="H42" s="65"/>
      <c r="I42" s="65"/>
      <c r="J42" s="65"/>
      <c r="K42" s="65"/>
      <c r="L42" s="65"/>
      <c r="M42" s="65"/>
      <c r="N42" s="65"/>
      <c r="O42" s="65"/>
      <c r="P42" s="66">
        <f t="shared" si="0"/>
        <v>0</v>
      </c>
    </row>
    <row r="43" spans="1:16">
      <c r="A43" s="3">
        <v>41</v>
      </c>
      <c r="B43" s="3" t="s">
        <v>4</v>
      </c>
      <c r="C43" s="3"/>
      <c r="D43" s="64"/>
      <c r="E43" s="64"/>
      <c r="F43" s="64"/>
      <c r="G43" s="64"/>
      <c r="H43" s="65"/>
      <c r="I43" s="65"/>
      <c r="J43" s="65"/>
      <c r="K43" s="65"/>
      <c r="L43" s="65"/>
      <c r="M43" s="65"/>
      <c r="N43" s="65"/>
      <c r="O43" s="65"/>
      <c r="P43" s="66">
        <f t="shared" si="0"/>
        <v>0</v>
      </c>
    </row>
    <row r="44" spans="1:16">
      <c r="A44" s="3">
        <v>42</v>
      </c>
      <c r="B44" s="3" t="s">
        <v>4</v>
      </c>
      <c r="C44" s="3"/>
      <c r="D44" s="64"/>
      <c r="E44" s="64"/>
      <c r="F44" s="64"/>
      <c r="G44" s="64"/>
      <c r="H44" s="65"/>
      <c r="I44" s="65"/>
      <c r="J44" s="65"/>
      <c r="K44" s="65"/>
      <c r="L44" s="65"/>
      <c r="M44" s="65"/>
      <c r="N44" s="65"/>
      <c r="O44" s="65"/>
      <c r="P44" s="66">
        <f t="shared" si="0"/>
        <v>0</v>
      </c>
    </row>
    <row r="45" spans="1:16">
      <c r="A45" s="3">
        <v>43</v>
      </c>
      <c r="B45" s="3" t="s">
        <v>4</v>
      </c>
      <c r="C45" s="3"/>
      <c r="D45" s="64"/>
      <c r="E45" s="64"/>
      <c r="F45" s="64"/>
      <c r="G45" s="64"/>
      <c r="H45" s="65"/>
      <c r="I45" s="65"/>
      <c r="J45" s="65"/>
      <c r="K45" s="65"/>
      <c r="L45" s="65"/>
      <c r="M45" s="65"/>
      <c r="N45" s="65"/>
      <c r="O45" s="65"/>
      <c r="P45" s="66">
        <f t="shared" si="0"/>
        <v>0</v>
      </c>
    </row>
    <row r="46" spans="1:16">
      <c r="A46" s="3">
        <v>44</v>
      </c>
      <c r="B46" s="3" t="s">
        <v>4</v>
      </c>
      <c r="C46" s="3"/>
      <c r="D46" s="64"/>
      <c r="E46" s="64"/>
      <c r="F46" s="64"/>
      <c r="G46" s="64"/>
      <c r="H46" s="65"/>
      <c r="I46" s="65"/>
      <c r="J46" s="65"/>
      <c r="K46" s="65"/>
      <c r="L46" s="65"/>
      <c r="M46" s="65"/>
      <c r="N46" s="65"/>
      <c r="O46" s="65"/>
      <c r="P46" s="66">
        <f t="shared" si="0"/>
        <v>0</v>
      </c>
    </row>
    <row r="47" spans="1:16">
      <c r="A47" s="3">
        <v>45</v>
      </c>
      <c r="B47" s="3" t="s">
        <v>4</v>
      </c>
      <c r="C47" s="3"/>
      <c r="D47" s="64"/>
      <c r="E47" s="64"/>
      <c r="F47" s="64"/>
      <c r="G47" s="64"/>
      <c r="H47" s="65"/>
      <c r="I47" s="65"/>
      <c r="J47" s="65"/>
      <c r="K47" s="65"/>
      <c r="L47" s="65"/>
      <c r="M47" s="65"/>
      <c r="N47" s="65"/>
      <c r="O47" s="65"/>
      <c r="P47" s="66">
        <f t="shared" si="0"/>
        <v>0</v>
      </c>
    </row>
    <row r="48" spans="1:16">
      <c r="A48" s="3">
        <v>46</v>
      </c>
      <c r="B48" s="3" t="s">
        <v>4</v>
      </c>
      <c r="C48" s="3"/>
      <c r="D48" s="64"/>
      <c r="E48" s="64"/>
      <c r="F48" s="64"/>
      <c r="G48" s="64"/>
      <c r="H48" s="65"/>
      <c r="I48" s="65"/>
      <c r="J48" s="65"/>
      <c r="K48" s="65"/>
      <c r="L48" s="65"/>
      <c r="M48" s="65"/>
      <c r="N48" s="65"/>
      <c r="O48" s="65"/>
      <c r="P48" s="66">
        <f t="shared" si="0"/>
        <v>0</v>
      </c>
    </row>
    <row r="49" spans="1:16">
      <c r="A49" s="3">
        <v>47</v>
      </c>
      <c r="B49" s="3" t="s">
        <v>4</v>
      </c>
      <c r="C49" s="3"/>
      <c r="D49" s="64"/>
      <c r="E49" s="64"/>
      <c r="F49" s="64"/>
      <c r="G49" s="64"/>
      <c r="H49" s="65"/>
      <c r="I49" s="65"/>
      <c r="J49" s="65"/>
      <c r="K49" s="65"/>
      <c r="L49" s="65"/>
      <c r="M49" s="65"/>
      <c r="N49" s="65"/>
      <c r="O49" s="65"/>
      <c r="P49" s="66">
        <f t="shared" si="0"/>
        <v>0</v>
      </c>
    </row>
    <row r="50" spans="1:16">
      <c r="A50" s="3">
        <v>48</v>
      </c>
      <c r="B50" s="3" t="s">
        <v>4</v>
      </c>
      <c r="C50" s="3"/>
      <c r="D50" s="64"/>
      <c r="E50" s="64"/>
      <c r="F50" s="64"/>
      <c r="G50" s="64"/>
      <c r="H50" s="65"/>
      <c r="I50" s="65"/>
      <c r="J50" s="65"/>
      <c r="K50" s="65"/>
      <c r="L50" s="65"/>
      <c r="M50" s="65"/>
      <c r="N50" s="65"/>
      <c r="O50" s="65"/>
      <c r="P50" s="66">
        <f t="shared" si="0"/>
        <v>0</v>
      </c>
    </row>
    <row r="51" spans="1:16">
      <c r="A51" s="3">
        <v>49</v>
      </c>
      <c r="B51" s="3" t="s">
        <v>4</v>
      </c>
      <c r="C51" s="3"/>
      <c r="D51" s="64"/>
      <c r="E51" s="64"/>
      <c r="F51" s="64"/>
      <c r="G51" s="64"/>
      <c r="H51" s="65"/>
      <c r="I51" s="65"/>
      <c r="J51" s="65"/>
      <c r="K51" s="65"/>
      <c r="L51" s="65"/>
      <c r="M51" s="65"/>
      <c r="N51" s="65"/>
      <c r="O51" s="65"/>
      <c r="P51" s="66">
        <f t="shared" si="0"/>
        <v>0</v>
      </c>
    </row>
    <row r="52" spans="1:16">
      <c r="A52" s="3">
        <v>50</v>
      </c>
      <c r="B52" s="3" t="s">
        <v>4</v>
      </c>
      <c r="C52" s="3"/>
      <c r="D52" s="64"/>
      <c r="E52" s="64"/>
      <c r="F52" s="64"/>
      <c r="G52" s="64"/>
      <c r="H52" s="65"/>
      <c r="I52" s="65"/>
      <c r="J52" s="65"/>
      <c r="K52" s="65"/>
      <c r="L52" s="65"/>
      <c r="M52" s="65"/>
      <c r="N52" s="65"/>
      <c r="O52" s="65"/>
      <c r="P52" s="66">
        <f t="shared" si="0"/>
        <v>0</v>
      </c>
    </row>
    <row r="53" spans="1:16">
      <c r="A53" s="3">
        <v>51</v>
      </c>
      <c r="B53" s="3" t="s">
        <v>4</v>
      </c>
      <c r="C53" s="3"/>
      <c r="D53" s="64"/>
      <c r="E53" s="64"/>
      <c r="F53" s="64"/>
      <c r="G53" s="64"/>
      <c r="H53" s="65"/>
      <c r="I53" s="65"/>
      <c r="J53" s="65"/>
      <c r="K53" s="65"/>
      <c r="L53" s="65"/>
      <c r="M53" s="65"/>
      <c r="N53" s="65"/>
      <c r="O53" s="65"/>
      <c r="P53" s="66">
        <f t="shared" si="0"/>
        <v>0</v>
      </c>
    </row>
    <row r="54" spans="1:16">
      <c r="A54" s="3">
        <v>52</v>
      </c>
      <c r="B54" s="3" t="s">
        <v>4</v>
      </c>
      <c r="C54" s="3"/>
      <c r="D54" s="64"/>
      <c r="E54" s="64"/>
      <c r="F54" s="64"/>
      <c r="G54" s="64"/>
      <c r="H54" s="65"/>
      <c r="I54" s="65"/>
      <c r="J54" s="65"/>
      <c r="K54" s="65"/>
      <c r="L54" s="65"/>
      <c r="M54" s="65"/>
      <c r="N54" s="65"/>
      <c r="O54" s="65"/>
      <c r="P54" s="66">
        <f t="shared" si="0"/>
        <v>0</v>
      </c>
    </row>
    <row r="55" spans="1:16">
      <c r="A55" s="3">
        <v>53</v>
      </c>
      <c r="B55" s="3" t="s">
        <v>4</v>
      </c>
      <c r="C55" s="3"/>
      <c r="D55" s="64"/>
      <c r="E55" s="64"/>
      <c r="F55" s="64"/>
      <c r="G55" s="64"/>
      <c r="H55" s="65"/>
      <c r="I55" s="65"/>
      <c r="J55" s="65"/>
      <c r="K55" s="65"/>
      <c r="L55" s="65"/>
      <c r="M55" s="65"/>
      <c r="N55" s="65"/>
      <c r="O55" s="65"/>
      <c r="P55" s="66">
        <f t="shared" si="0"/>
        <v>0</v>
      </c>
    </row>
    <row r="56" spans="1:16">
      <c r="A56" s="3">
        <v>54</v>
      </c>
      <c r="B56" s="3" t="s">
        <v>4</v>
      </c>
      <c r="C56" s="3"/>
      <c r="D56" s="64"/>
      <c r="E56" s="64"/>
      <c r="F56" s="64"/>
      <c r="G56" s="64"/>
      <c r="H56" s="65"/>
      <c r="I56" s="65"/>
      <c r="J56" s="65"/>
      <c r="K56" s="65"/>
      <c r="L56" s="65"/>
      <c r="M56" s="65"/>
      <c r="N56" s="65"/>
      <c r="O56" s="65"/>
      <c r="P56" s="66">
        <f t="shared" si="0"/>
        <v>0</v>
      </c>
    </row>
    <row r="57" spans="1:16">
      <c r="A57" s="3">
        <v>55</v>
      </c>
      <c r="B57" s="3" t="s">
        <v>4</v>
      </c>
      <c r="C57" s="3"/>
      <c r="D57" s="64"/>
      <c r="E57" s="64"/>
      <c r="F57" s="64"/>
      <c r="G57" s="64"/>
      <c r="H57" s="65"/>
      <c r="I57" s="65"/>
      <c r="J57" s="65"/>
      <c r="K57" s="65"/>
      <c r="L57" s="65"/>
      <c r="M57" s="65"/>
      <c r="N57" s="65"/>
      <c r="O57" s="65"/>
      <c r="P57" s="66">
        <f t="shared" si="0"/>
        <v>0</v>
      </c>
    </row>
    <row r="58" spans="1:16">
      <c r="A58" s="3">
        <v>56</v>
      </c>
      <c r="B58" s="3" t="s">
        <v>4</v>
      </c>
      <c r="C58" s="3"/>
      <c r="D58" s="64"/>
      <c r="E58" s="64"/>
      <c r="F58" s="64"/>
      <c r="G58" s="64"/>
      <c r="H58" s="65"/>
      <c r="I58" s="65"/>
      <c r="J58" s="65"/>
      <c r="K58" s="65"/>
      <c r="L58" s="65"/>
      <c r="M58" s="65"/>
      <c r="N58" s="65"/>
      <c r="O58" s="65"/>
      <c r="P58" s="66">
        <f t="shared" si="0"/>
        <v>0</v>
      </c>
    </row>
    <row r="59" spans="1:16">
      <c r="A59" s="3">
        <v>57</v>
      </c>
      <c r="B59" s="3" t="s">
        <v>4</v>
      </c>
      <c r="C59" s="3"/>
      <c r="D59" s="64"/>
      <c r="E59" s="64"/>
      <c r="F59" s="64"/>
      <c r="G59" s="64"/>
      <c r="H59" s="65"/>
      <c r="I59" s="65"/>
      <c r="J59" s="65"/>
      <c r="K59" s="65"/>
      <c r="L59" s="65"/>
      <c r="M59" s="65"/>
      <c r="N59" s="65"/>
      <c r="O59" s="65"/>
      <c r="P59" s="66">
        <f t="shared" si="0"/>
        <v>0</v>
      </c>
    </row>
    <row r="60" spans="1:16">
      <c r="A60" s="3">
        <v>58</v>
      </c>
      <c r="B60" s="3" t="s">
        <v>4</v>
      </c>
      <c r="C60" s="3"/>
      <c r="D60" s="64"/>
      <c r="E60" s="64"/>
      <c r="F60" s="64"/>
      <c r="G60" s="64"/>
      <c r="H60" s="65"/>
      <c r="I60" s="65"/>
      <c r="J60" s="65"/>
      <c r="K60" s="65"/>
      <c r="L60" s="65"/>
      <c r="M60" s="65"/>
      <c r="N60" s="65"/>
      <c r="O60" s="65"/>
      <c r="P60" s="66">
        <f t="shared" si="0"/>
        <v>0</v>
      </c>
    </row>
    <row r="61" spans="1:16">
      <c r="A61" s="3">
        <v>59</v>
      </c>
      <c r="B61" s="3" t="s">
        <v>4</v>
      </c>
      <c r="C61" s="3"/>
      <c r="D61" s="64"/>
      <c r="E61" s="64"/>
      <c r="F61" s="64"/>
      <c r="G61" s="64"/>
      <c r="H61" s="65"/>
      <c r="I61" s="65"/>
      <c r="J61" s="65"/>
      <c r="K61" s="65"/>
      <c r="L61" s="65"/>
      <c r="M61" s="65"/>
      <c r="N61" s="65"/>
      <c r="O61" s="65"/>
      <c r="P61" s="66">
        <f t="shared" si="0"/>
        <v>0</v>
      </c>
    </row>
    <row r="62" spans="1:16">
      <c r="A62" s="3">
        <v>60</v>
      </c>
      <c r="B62" s="3" t="s">
        <v>4</v>
      </c>
      <c r="C62" s="3"/>
      <c r="D62" s="64"/>
      <c r="E62" s="64"/>
      <c r="F62" s="64"/>
      <c r="G62" s="64"/>
      <c r="H62" s="65"/>
      <c r="I62" s="65"/>
      <c r="J62" s="65"/>
      <c r="K62" s="65"/>
      <c r="L62" s="65"/>
      <c r="M62" s="65"/>
      <c r="N62" s="65"/>
      <c r="O62" s="65"/>
      <c r="P62" s="66">
        <f t="shared" si="0"/>
        <v>0</v>
      </c>
    </row>
    <row r="63" spans="1:16">
      <c r="A63" s="3">
        <v>61</v>
      </c>
      <c r="B63" s="3" t="s">
        <v>4</v>
      </c>
      <c r="C63" s="3"/>
      <c r="D63" s="64"/>
      <c r="E63" s="64"/>
      <c r="F63" s="64"/>
      <c r="G63" s="64"/>
      <c r="H63" s="65"/>
      <c r="I63" s="65"/>
      <c r="J63" s="65"/>
      <c r="K63" s="65"/>
      <c r="L63" s="65"/>
      <c r="M63" s="65"/>
      <c r="N63" s="65"/>
      <c r="O63" s="65"/>
      <c r="P63" s="66">
        <f t="shared" si="0"/>
        <v>0</v>
      </c>
    </row>
    <row r="64" spans="1:16">
      <c r="A64" s="3">
        <v>62</v>
      </c>
      <c r="B64" s="3" t="s">
        <v>4</v>
      </c>
      <c r="C64" s="3"/>
      <c r="D64" s="64"/>
      <c r="E64" s="64"/>
      <c r="F64" s="64"/>
      <c r="G64" s="64"/>
      <c r="H64" s="65"/>
      <c r="I64" s="65"/>
      <c r="J64" s="65"/>
      <c r="K64" s="65"/>
      <c r="L64" s="65"/>
      <c r="M64" s="65"/>
      <c r="N64" s="65"/>
      <c r="O64" s="65"/>
      <c r="P64" s="66">
        <f t="shared" si="0"/>
        <v>0</v>
      </c>
    </row>
    <row r="65" spans="1:16">
      <c r="A65" s="3">
        <v>63</v>
      </c>
      <c r="B65" s="3" t="s">
        <v>4</v>
      </c>
      <c r="C65" s="3"/>
      <c r="D65" s="64"/>
      <c r="E65" s="64"/>
      <c r="F65" s="64"/>
      <c r="G65" s="64"/>
      <c r="H65" s="65"/>
      <c r="I65" s="65"/>
      <c r="J65" s="65"/>
      <c r="K65" s="65"/>
      <c r="L65" s="65"/>
      <c r="M65" s="65"/>
      <c r="N65" s="65"/>
      <c r="O65" s="65"/>
      <c r="P65" s="66">
        <f t="shared" si="0"/>
        <v>0</v>
      </c>
    </row>
    <row r="66" spans="1:16">
      <c r="A66" s="3">
        <v>64</v>
      </c>
      <c r="B66" s="3" t="s">
        <v>4</v>
      </c>
      <c r="C66" s="3"/>
      <c r="D66" s="64"/>
      <c r="E66" s="64"/>
      <c r="F66" s="64"/>
      <c r="G66" s="64"/>
      <c r="H66" s="65"/>
      <c r="I66" s="65"/>
      <c r="J66" s="65"/>
      <c r="K66" s="65"/>
      <c r="L66" s="65"/>
      <c r="M66" s="65"/>
      <c r="N66" s="65"/>
      <c r="O66" s="65"/>
      <c r="P66" s="66">
        <f t="shared" si="0"/>
        <v>0</v>
      </c>
    </row>
    <row r="67" spans="1:16">
      <c r="A67" s="3">
        <v>65</v>
      </c>
      <c r="B67" s="3" t="s">
        <v>4</v>
      </c>
      <c r="C67" s="3"/>
      <c r="D67" s="64"/>
      <c r="E67" s="64"/>
      <c r="F67" s="64"/>
      <c r="G67" s="64"/>
      <c r="H67" s="65"/>
      <c r="I67" s="65"/>
      <c r="J67" s="65"/>
      <c r="K67" s="65"/>
      <c r="L67" s="65"/>
      <c r="M67" s="65"/>
      <c r="N67" s="65"/>
      <c r="O67" s="65"/>
      <c r="P67" s="66">
        <f t="shared" si="0"/>
        <v>0</v>
      </c>
    </row>
    <row r="68" spans="1:16">
      <c r="A68" s="3">
        <v>66</v>
      </c>
      <c r="B68" s="3" t="s">
        <v>4</v>
      </c>
      <c r="C68" s="3"/>
      <c r="D68" s="64"/>
      <c r="E68" s="64"/>
      <c r="F68" s="64"/>
      <c r="G68" s="64"/>
      <c r="H68" s="65"/>
      <c r="I68" s="65"/>
      <c r="J68" s="65"/>
      <c r="K68" s="65"/>
      <c r="L68" s="65"/>
      <c r="M68" s="65"/>
      <c r="N68" s="65"/>
      <c r="O68" s="65"/>
      <c r="P68" s="66">
        <f t="shared" ref="P68:P97" si="1">SUM(D68:O68)</f>
        <v>0</v>
      </c>
    </row>
    <row r="69" spans="1:16">
      <c r="A69" s="3">
        <v>67</v>
      </c>
      <c r="B69" s="3" t="s">
        <v>4</v>
      </c>
      <c r="C69" s="3"/>
      <c r="D69" s="64"/>
      <c r="E69" s="64"/>
      <c r="F69" s="64"/>
      <c r="G69" s="64"/>
      <c r="H69" s="65"/>
      <c r="I69" s="65"/>
      <c r="J69" s="65"/>
      <c r="K69" s="65"/>
      <c r="L69" s="65"/>
      <c r="M69" s="65"/>
      <c r="N69" s="65"/>
      <c r="O69" s="65"/>
      <c r="P69" s="66">
        <f t="shared" si="1"/>
        <v>0</v>
      </c>
    </row>
    <row r="70" spans="1:16">
      <c r="A70" s="3">
        <v>68</v>
      </c>
      <c r="B70" s="3" t="s">
        <v>4</v>
      </c>
      <c r="C70" s="3"/>
      <c r="D70" s="64"/>
      <c r="E70" s="64"/>
      <c r="F70" s="64"/>
      <c r="G70" s="64"/>
      <c r="H70" s="65"/>
      <c r="I70" s="65"/>
      <c r="J70" s="65"/>
      <c r="K70" s="65"/>
      <c r="L70" s="65"/>
      <c r="M70" s="65"/>
      <c r="N70" s="65"/>
      <c r="O70" s="65"/>
      <c r="P70" s="66">
        <f t="shared" si="1"/>
        <v>0</v>
      </c>
    </row>
    <row r="71" spans="1:16">
      <c r="A71" s="3">
        <v>69</v>
      </c>
      <c r="B71" s="3" t="s">
        <v>4</v>
      </c>
      <c r="C71" s="3"/>
      <c r="D71" s="64"/>
      <c r="E71" s="64"/>
      <c r="F71" s="64"/>
      <c r="G71" s="64"/>
      <c r="H71" s="65"/>
      <c r="I71" s="65"/>
      <c r="J71" s="65"/>
      <c r="K71" s="65"/>
      <c r="L71" s="65"/>
      <c r="M71" s="65"/>
      <c r="N71" s="65"/>
      <c r="O71" s="65"/>
      <c r="P71" s="66">
        <f t="shared" si="1"/>
        <v>0</v>
      </c>
    </row>
    <row r="72" spans="1:16">
      <c r="A72" s="3">
        <v>70</v>
      </c>
      <c r="B72" s="3" t="s">
        <v>4</v>
      </c>
      <c r="C72" s="3"/>
      <c r="D72" s="64"/>
      <c r="E72" s="64"/>
      <c r="F72" s="64"/>
      <c r="G72" s="64"/>
      <c r="H72" s="65"/>
      <c r="I72" s="65"/>
      <c r="J72" s="65"/>
      <c r="K72" s="65"/>
      <c r="L72" s="65"/>
      <c r="M72" s="65"/>
      <c r="N72" s="65"/>
      <c r="O72" s="65"/>
      <c r="P72" s="66">
        <f t="shared" si="1"/>
        <v>0</v>
      </c>
    </row>
    <row r="73" spans="1:16">
      <c r="A73" s="3">
        <v>71</v>
      </c>
      <c r="B73" s="3" t="s">
        <v>4</v>
      </c>
      <c r="C73" s="3"/>
      <c r="D73" s="64"/>
      <c r="E73" s="64"/>
      <c r="F73" s="64"/>
      <c r="G73" s="64"/>
      <c r="H73" s="65"/>
      <c r="I73" s="65"/>
      <c r="J73" s="65"/>
      <c r="K73" s="65"/>
      <c r="L73" s="65"/>
      <c r="M73" s="65"/>
      <c r="N73" s="65"/>
      <c r="O73" s="65"/>
      <c r="P73" s="66">
        <f t="shared" si="1"/>
        <v>0</v>
      </c>
    </row>
    <row r="74" spans="1:16">
      <c r="A74" s="3">
        <v>72</v>
      </c>
      <c r="B74" s="3" t="s">
        <v>4</v>
      </c>
      <c r="C74" s="3"/>
      <c r="D74" s="64"/>
      <c r="E74" s="64"/>
      <c r="F74" s="64"/>
      <c r="G74" s="64"/>
      <c r="H74" s="65"/>
      <c r="I74" s="65"/>
      <c r="J74" s="65"/>
      <c r="K74" s="65"/>
      <c r="L74" s="65"/>
      <c r="M74" s="65"/>
      <c r="N74" s="65"/>
      <c r="O74" s="65"/>
      <c r="P74" s="66">
        <f t="shared" si="1"/>
        <v>0</v>
      </c>
    </row>
    <row r="75" spans="1:16">
      <c r="A75" s="3">
        <v>73</v>
      </c>
      <c r="B75" s="3" t="s">
        <v>4</v>
      </c>
      <c r="C75" s="3"/>
      <c r="D75" s="64"/>
      <c r="E75" s="64"/>
      <c r="F75" s="64"/>
      <c r="G75" s="64"/>
      <c r="H75" s="65"/>
      <c r="I75" s="65"/>
      <c r="J75" s="65"/>
      <c r="K75" s="65"/>
      <c r="L75" s="65"/>
      <c r="M75" s="65"/>
      <c r="N75" s="65"/>
      <c r="O75" s="65"/>
      <c r="P75" s="66">
        <f t="shared" si="1"/>
        <v>0</v>
      </c>
    </row>
    <row r="76" spans="1:16">
      <c r="A76" s="3">
        <v>74</v>
      </c>
      <c r="B76" s="3" t="s">
        <v>4</v>
      </c>
      <c r="C76" s="3"/>
      <c r="D76" s="64"/>
      <c r="E76" s="64"/>
      <c r="F76" s="64"/>
      <c r="G76" s="64"/>
      <c r="H76" s="65"/>
      <c r="I76" s="65"/>
      <c r="J76" s="65"/>
      <c r="K76" s="65"/>
      <c r="L76" s="65"/>
      <c r="M76" s="65"/>
      <c r="N76" s="65"/>
      <c r="O76" s="65"/>
      <c r="P76" s="66">
        <f t="shared" si="1"/>
        <v>0</v>
      </c>
    </row>
    <row r="77" spans="1:16">
      <c r="A77" s="3">
        <v>75</v>
      </c>
      <c r="B77" s="3" t="s">
        <v>4</v>
      </c>
      <c r="C77" s="3"/>
      <c r="D77" s="64"/>
      <c r="E77" s="64"/>
      <c r="F77" s="64"/>
      <c r="G77" s="64"/>
      <c r="H77" s="65"/>
      <c r="I77" s="65"/>
      <c r="J77" s="65"/>
      <c r="K77" s="65"/>
      <c r="L77" s="65"/>
      <c r="M77" s="65"/>
      <c r="N77" s="65"/>
      <c r="O77" s="65"/>
      <c r="P77" s="66">
        <f t="shared" si="1"/>
        <v>0</v>
      </c>
    </row>
    <row r="78" spans="1:16">
      <c r="A78" s="3">
        <v>76</v>
      </c>
      <c r="B78" s="3" t="s">
        <v>4</v>
      </c>
      <c r="C78" s="67"/>
      <c r="D78" s="68"/>
      <c r="E78" s="68"/>
      <c r="F78" s="68"/>
      <c r="G78" s="68"/>
      <c r="H78" s="65"/>
      <c r="I78" s="65"/>
      <c r="J78" s="65"/>
      <c r="K78" s="65"/>
      <c r="L78" s="65"/>
      <c r="M78" s="65"/>
      <c r="N78" s="65"/>
      <c r="O78" s="65"/>
      <c r="P78" s="66">
        <f t="shared" si="1"/>
        <v>0</v>
      </c>
    </row>
    <row r="79" spans="1:16">
      <c r="A79" s="3">
        <v>77</v>
      </c>
      <c r="B79" s="3" t="s">
        <v>4</v>
      </c>
      <c r="C79" s="3"/>
      <c r="D79" s="64"/>
      <c r="E79" s="64"/>
      <c r="F79" s="64"/>
      <c r="G79" s="64"/>
      <c r="H79" s="65"/>
      <c r="I79" s="65"/>
      <c r="J79" s="65"/>
      <c r="K79" s="65"/>
      <c r="L79" s="65"/>
      <c r="M79" s="65"/>
      <c r="N79" s="65"/>
      <c r="O79" s="65"/>
      <c r="P79" s="66">
        <f t="shared" si="1"/>
        <v>0</v>
      </c>
    </row>
    <row r="80" spans="1:16">
      <c r="A80" s="3">
        <v>78</v>
      </c>
      <c r="B80" s="3" t="s">
        <v>4</v>
      </c>
      <c r="C80" s="3"/>
      <c r="D80" s="64"/>
      <c r="E80" s="64"/>
      <c r="F80" s="64"/>
      <c r="G80" s="64"/>
      <c r="H80" s="65"/>
      <c r="I80" s="65"/>
      <c r="J80" s="65"/>
      <c r="K80" s="65"/>
      <c r="L80" s="65"/>
      <c r="M80" s="65"/>
      <c r="N80" s="65"/>
      <c r="O80" s="65"/>
      <c r="P80" s="66">
        <f t="shared" si="1"/>
        <v>0</v>
      </c>
    </row>
    <row r="81" spans="1:16">
      <c r="A81" s="67">
        <v>79</v>
      </c>
      <c r="B81" s="3" t="s">
        <v>4</v>
      </c>
      <c r="C81" s="3"/>
      <c r="D81" s="64"/>
      <c r="E81" s="64"/>
      <c r="F81" s="64"/>
      <c r="G81" s="64"/>
      <c r="H81" s="65"/>
      <c r="I81" s="65"/>
      <c r="J81" s="65"/>
      <c r="K81" s="65"/>
      <c r="L81" s="65"/>
      <c r="M81" s="65"/>
      <c r="N81" s="65"/>
      <c r="O81" s="65"/>
      <c r="P81" s="66">
        <f t="shared" si="1"/>
        <v>0</v>
      </c>
    </row>
    <row r="82" spans="1:16">
      <c r="A82" s="3">
        <v>80</v>
      </c>
      <c r="B82" s="3" t="s">
        <v>4</v>
      </c>
      <c r="C82" s="3"/>
      <c r="D82" s="64"/>
      <c r="E82" s="64"/>
      <c r="F82" s="64"/>
      <c r="G82" s="64"/>
      <c r="H82" s="65"/>
      <c r="I82" s="65"/>
      <c r="J82" s="65"/>
      <c r="K82" s="65"/>
      <c r="L82" s="65"/>
      <c r="M82" s="65"/>
      <c r="N82" s="65"/>
      <c r="O82" s="65"/>
      <c r="P82" s="66">
        <f t="shared" si="1"/>
        <v>0</v>
      </c>
    </row>
    <row r="83" spans="1:16">
      <c r="A83" s="3">
        <v>81</v>
      </c>
      <c r="B83" s="3" t="s">
        <v>4</v>
      </c>
      <c r="C83" s="3"/>
      <c r="D83" s="64"/>
      <c r="E83" s="64"/>
      <c r="F83" s="64"/>
      <c r="G83" s="64"/>
      <c r="H83" s="65"/>
      <c r="I83" s="65"/>
      <c r="J83" s="65"/>
      <c r="K83" s="65"/>
      <c r="L83" s="65"/>
      <c r="M83" s="65"/>
      <c r="N83" s="65"/>
      <c r="O83" s="65"/>
      <c r="P83" s="66">
        <f t="shared" si="1"/>
        <v>0</v>
      </c>
    </row>
    <row r="84" spans="1:16">
      <c r="A84" s="3">
        <v>82</v>
      </c>
      <c r="B84" s="3" t="s">
        <v>4</v>
      </c>
      <c r="C84" s="3"/>
      <c r="D84" s="64"/>
      <c r="E84" s="64"/>
      <c r="F84" s="64"/>
      <c r="G84" s="64"/>
      <c r="H84" s="65"/>
      <c r="I84" s="65"/>
      <c r="J84" s="65"/>
      <c r="K84" s="65"/>
      <c r="L84" s="65"/>
      <c r="M84" s="65"/>
      <c r="N84" s="65"/>
      <c r="O84" s="65"/>
      <c r="P84" s="66">
        <f t="shared" si="1"/>
        <v>0</v>
      </c>
    </row>
    <row r="85" spans="1:16">
      <c r="A85" s="3">
        <v>83</v>
      </c>
      <c r="B85" s="3" t="s">
        <v>4</v>
      </c>
      <c r="C85" s="3"/>
      <c r="D85" s="64"/>
      <c r="E85" s="64"/>
      <c r="F85" s="64"/>
      <c r="G85" s="64"/>
      <c r="H85" s="65"/>
      <c r="I85" s="65"/>
      <c r="J85" s="65"/>
      <c r="K85" s="65"/>
      <c r="L85" s="65"/>
      <c r="M85" s="65"/>
      <c r="N85" s="65"/>
      <c r="O85" s="65"/>
      <c r="P85" s="66">
        <f t="shared" si="1"/>
        <v>0</v>
      </c>
    </row>
    <row r="86" spans="1:16">
      <c r="A86" s="3">
        <v>84</v>
      </c>
      <c r="B86" s="3" t="s">
        <v>4</v>
      </c>
      <c r="C86" s="3"/>
      <c r="D86" s="64"/>
      <c r="E86" s="64"/>
      <c r="F86" s="64"/>
      <c r="G86" s="64"/>
      <c r="H86" s="65"/>
      <c r="I86" s="65"/>
      <c r="J86" s="65"/>
      <c r="K86" s="65"/>
      <c r="L86" s="65"/>
      <c r="M86" s="65"/>
      <c r="N86" s="65"/>
      <c r="O86" s="65"/>
      <c r="P86" s="66">
        <f t="shared" si="1"/>
        <v>0</v>
      </c>
    </row>
    <row r="87" spans="1:16">
      <c r="A87" s="3">
        <v>85</v>
      </c>
      <c r="B87" s="3" t="s">
        <v>4</v>
      </c>
      <c r="C87" s="3"/>
      <c r="D87" s="64"/>
      <c r="E87" s="64"/>
      <c r="F87" s="64"/>
      <c r="G87" s="64"/>
      <c r="H87" s="65"/>
      <c r="I87" s="65"/>
      <c r="J87" s="65"/>
      <c r="K87" s="65"/>
      <c r="L87" s="65"/>
      <c r="M87" s="65"/>
      <c r="N87" s="65"/>
      <c r="O87" s="65"/>
      <c r="P87" s="66">
        <f t="shared" si="1"/>
        <v>0</v>
      </c>
    </row>
    <row r="88" spans="1:16">
      <c r="A88" s="3">
        <v>86</v>
      </c>
      <c r="B88" s="3" t="s">
        <v>4</v>
      </c>
      <c r="C88" s="3"/>
      <c r="D88" s="64"/>
      <c r="E88" s="64"/>
      <c r="F88" s="64"/>
      <c r="G88" s="64"/>
      <c r="H88" s="65"/>
      <c r="I88" s="65"/>
      <c r="J88" s="65"/>
      <c r="K88" s="65"/>
      <c r="L88" s="65"/>
      <c r="M88" s="65"/>
      <c r="N88" s="65"/>
      <c r="O88" s="65"/>
      <c r="P88" s="66">
        <f t="shared" si="1"/>
        <v>0</v>
      </c>
    </row>
    <row r="89" spans="1:16">
      <c r="A89" s="3">
        <v>87</v>
      </c>
      <c r="B89" s="3" t="s">
        <v>4</v>
      </c>
      <c r="C89" s="3"/>
      <c r="D89" s="64"/>
      <c r="E89" s="64"/>
      <c r="F89" s="64"/>
      <c r="G89" s="64"/>
      <c r="H89" s="65"/>
      <c r="I89" s="65"/>
      <c r="J89" s="65"/>
      <c r="K89" s="65"/>
      <c r="L89" s="65"/>
      <c r="M89" s="65"/>
      <c r="N89" s="65"/>
      <c r="O89" s="65"/>
      <c r="P89" s="66">
        <f t="shared" si="1"/>
        <v>0</v>
      </c>
    </row>
    <row r="90" spans="1:16">
      <c r="A90" s="3">
        <v>88</v>
      </c>
      <c r="B90" s="3" t="s">
        <v>4</v>
      </c>
      <c r="C90" s="3"/>
      <c r="D90" s="64"/>
      <c r="E90" s="64"/>
      <c r="F90" s="64"/>
      <c r="G90" s="64"/>
      <c r="H90" s="65"/>
      <c r="I90" s="65"/>
      <c r="J90" s="65"/>
      <c r="K90" s="65"/>
      <c r="L90" s="65"/>
      <c r="M90" s="65"/>
      <c r="N90" s="65"/>
      <c r="O90" s="65"/>
      <c r="P90" s="66">
        <f t="shared" si="1"/>
        <v>0</v>
      </c>
    </row>
    <row r="91" spans="1:16">
      <c r="A91" s="3">
        <v>89</v>
      </c>
      <c r="B91" s="3" t="s">
        <v>4</v>
      </c>
      <c r="C91" s="3"/>
      <c r="D91" s="64"/>
      <c r="E91" s="64"/>
      <c r="F91" s="64"/>
      <c r="G91" s="64"/>
      <c r="H91" s="65"/>
      <c r="I91" s="65"/>
      <c r="J91" s="65"/>
      <c r="K91" s="65"/>
      <c r="L91" s="65"/>
      <c r="M91" s="65"/>
      <c r="N91" s="65"/>
      <c r="O91" s="65"/>
      <c r="P91" s="66">
        <f t="shared" si="1"/>
        <v>0</v>
      </c>
    </row>
    <row r="92" spans="1:16">
      <c r="A92" s="3">
        <v>90</v>
      </c>
      <c r="B92" s="3" t="s">
        <v>4</v>
      </c>
      <c r="C92" s="3"/>
      <c r="D92" s="64"/>
      <c r="E92" s="64"/>
      <c r="F92" s="64"/>
      <c r="G92" s="64"/>
      <c r="H92" s="65"/>
      <c r="I92" s="65"/>
      <c r="J92" s="65"/>
      <c r="K92" s="65"/>
      <c r="L92" s="65"/>
      <c r="M92" s="65"/>
      <c r="N92" s="65"/>
      <c r="O92" s="65"/>
      <c r="P92" s="66">
        <f t="shared" si="1"/>
        <v>0</v>
      </c>
    </row>
    <row r="93" spans="1:16">
      <c r="A93" s="3">
        <v>91</v>
      </c>
      <c r="B93" s="3" t="s">
        <v>4</v>
      </c>
      <c r="C93" s="3"/>
      <c r="D93" s="64"/>
      <c r="E93" s="64"/>
      <c r="F93" s="64"/>
      <c r="G93" s="64"/>
      <c r="H93" s="65"/>
      <c r="I93" s="65"/>
      <c r="J93" s="65"/>
      <c r="K93" s="65"/>
      <c r="L93" s="65"/>
      <c r="M93" s="65"/>
      <c r="N93" s="65"/>
      <c r="O93" s="65"/>
      <c r="P93" s="66">
        <f t="shared" si="1"/>
        <v>0</v>
      </c>
    </row>
    <row r="94" spans="1:16">
      <c r="A94" s="3">
        <v>92</v>
      </c>
      <c r="B94" s="3" t="s">
        <v>4</v>
      </c>
      <c r="C94" s="3"/>
      <c r="D94" s="64"/>
      <c r="E94" s="64"/>
      <c r="F94" s="64"/>
      <c r="G94" s="64"/>
      <c r="H94" s="65"/>
      <c r="I94" s="65"/>
      <c r="J94" s="65"/>
      <c r="K94" s="65"/>
      <c r="L94" s="65"/>
      <c r="M94" s="65"/>
      <c r="N94" s="65"/>
      <c r="O94" s="65"/>
      <c r="P94" s="66">
        <f t="shared" si="1"/>
        <v>0</v>
      </c>
    </row>
    <row r="95" spans="1:16">
      <c r="A95" s="3">
        <v>93</v>
      </c>
      <c r="B95" s="3" t="s">
        <v>4</v>
      </c>
      <c r="C95" s="3"/>
      <c r="D95" s="64"/>
      <c r="E95" s="64"/>
      <c r="F95" s="64"/>
      <c r="G95" s="64"/>
      <c r="H95" s="65"/>
      <c r="I95" s="65"/>
      <c r="J95" s="65"/>
      <c r="K95" s="65"/>
      <c r="L95" s="65"/>
      <c r="M95" s="65"/>
      <c r="N95" s="65"/>
      <c r="O95" s="65"/>
      <c r="P95" s="66">
        <f t="shared" si="1"/>
        <v>0</v>
      </c>
    </row>
    <row r="96" spans="1:16">
      <c r="A96" s="3">
        <v>94</v>
      </c>
      <c r="B96" s="3" t="s">
        <v>4</v>
      </c>
      <c r="C96" s="3"/>
      <c r="D96" s="64"/>
      <c r="E96" s="64"/>
      <c r="F96" s="64"/>
      <c r="G96" s="64"/>
      <c r="H96" s="65"/>
      <c r="I96" s="65"/>
      <c r="J96" s="65"/>
      <c r="K96" s="65"/>
      <c r="L96" s="65"/>
      <c r="M96" s="65"/>
      <c r="N96" s="65"/>
      <c r="O96" s="65"/>
      <c r="P96" s="66">
        <f t="shared" si="1"/>
        <v>0</v>
      </c>
    </row>
    <row r="97" spans="1:16">
      <c r="A97" s="3">
        <v>95</v>
      </c>
      <c r="B97" s="3" t="s">
        <v>4</v>
      </c>
      <c r="C97" s="3"/>
      <c r="D97" s="64"/>
      <c r="E97" s="64"/>
      <c r="F97" s="64"/>
      <c r="G97" s="64"/>
      <c r="H97" s="65"/>
      <c r="I97" s="65"/>
      <c r="J97" s="65"/>
      <c r="K97" s="65"/>
      <c r="L97" s="65"/>
      <c r="M97" s="65"/>
      <c r="N97" s="65"/>
      <c r="O97" s="65"/>
      <c r="P97" s="66">
        <f t="shared" si="1"/>
        <v>0</v>
      </c>
    </row>
    <row r="98" spans="1:16">
      <c r="D98" s="59"/>
      <c r="E98" s="59"/>
      <c r="F98" s="59"/>
      <c r="G98" s="59"/>
      <c r="H98" s="59"/>
      <c r="I98" s="59"/>
      <c r="J98" s="59"/>
      <c r="K98" s="59"/>
      <c r="L98" s="59"/>
      <c r="M98" s="59"/>
      <c r="N98" s="59"/>
      <c r="O98" s="59"/>
    </row>
    <row r="99" spans="1:16">
      <c r="D99" s="59"/>
      <c r="E99" s="59"/>
      <c r="F99" s="59"/>
      <c r="G99" s="59"/>
      <c r="H99" s="59"/>
      <c r="I99" s="59"/>
      <c r="J99" s="59"/>
      <c r="K99" s="59"/>
      <c r="L99" s="59"/>
      <c r="M99" s="59"/>
      <c r="N99" s="59"/>
      <c r="O99" s="59"/>
    </row>
    <row r="100" spans="1:16">
      <c r="D100" s="59"/>
      <c r="E100" s="59"/>
      <c r="F100" s="59"/>
      <c r="G100" s="59"/>
      <c r="H100" s="59"/>
      <c r="I100" s="59"/>
      <c r="J100" s="59"/>
      <c r="K100" s="59"/>
      <c r="L100" s="59"/>
      <c r="M100" s="59"/>
      <c r="N100" s="59"/>
      <c r="O100" s="59"/>
    </row>
    <row r="101" spans="1:16">
      <c r="D101" s="59"/>
      <c r="E101" s="59"/>
      <c r="F101" s="59"/>
      <c r="G101" s="59"/>
      <c r="H101" s="59"/>
      <c r="I101" s="59"/>
      <c r="J101" s="59"/>
      <c r="K101" s="59"/>
      <c r="L101" s="59"/>
      <c r="M101" s="59"/>
      <c r="N101" s="59"/>
      <c r="O101" s="59"/>
    </row>
    <row r="102" spans="1:16">
      <c r="D102" s="59"/>
      <c r="E102" s="59"/>
      <c r="F102" s="59"/>
      <c r="G102" s="59"/>
      <c r="H102" s="59"/>
      <c r="I102" s="59"/>
      <c r="J102" s="59"/>
      <c r="K102" s="59"/>
      <c r="L102" s="59"/>
      <c r="M102" s="59"/>
      <c r="N102" s="59"/>
      <c r="O102" s="59"/>
    </row>
    <row r="103" spans="1:16">
      <c r="D103" s="59"/>
      <c r="E103" s="59"/>
      <c r="F103" s="59"/>
      <c r="G103" s="59"/>
      <c r="H103" s="59"/>
      <c r="I103" s="59"/>
      <c r="J103" s="59"/>
      <c r="K103" s="59"/>
      <c r="L103" s="59"/>
      <c r="M103" s="59"/>
      <c r="N103" s="59"/>
      <c r="O103" s="59"/>
    </row>
    <row r="104" spans="1:16">
      <c r="D104" s="59"/>
      <c r="E104" s="59"/>
      <c r="F104" s="59"/>
      <c r="G104" s="59"/>
      <c r="H104" s="59"/>
      <c r="I104" s="59"/>
      <c r="J104" s="59"/>
      <c r="K104" s="59"/>
      <c r="L104" s="59"/>
      <c r="M104" s="59"/>
      <c r="N104" s="59"/>
      <c r="O104" s="59"/>
    </row>
    <row r="105" spans="1:16">
      <c r="D105" s="59"/>
      <c r="E105" s="59"/>
      <c r="F105" s="59"/>
      <c r="G105" s="59"/>
      <c r="H105" s="59"/>
      <c r="I105" s="59"/>
      <c r="J105" s="59"/>
      <c r="K105" s="59"/>
      <c r="L105" s="59"/>
      <c r="M105" s="59"/>
      <c r="N105" s="59"/>
      <c r="O105" s="59"/>
    </row>
    <row r="106" spans="1:16">
      <c r="D106" s="59"/>
      <c r="E106" s="59"/>
      <c r="F106" s="59"/>
      <c r="G106" s="59"/>
      <c r="H106" s="59"/>
      <c r="I106" s="59"/>
      <c r="J106" s="59"/>
      <c r="K106" s="59"/>
      <c r="L106" s="59"/>
      <c r="M106" s="59"/>
      <c r="N106" s="59"/>
      <c r="O106" s="59"/>
    </row>
    <row r="107" spans="1:16">
      <c r="D107" s="59"/>
      <c r="E107" s="59"/>
      <c r="F107" s="59"/>
      <c r="G107" s="59"/>
      <c r="H107" s="59"/>
      <c r="I107" s="59"/>
      <c r="J107" s="59"/>
      <c r="K107" s="59"/>
      <c r="L107" s="59"/>
      <c r="M107" s="59"/>
      <c r="N107" s="59"/>
      <c r="O107" s="59"/>
    </row>
    <row r="108" spans="1:16">
      <c r="D108" s="59"/>
      <c r="E108" s="59"/>
      <c r="F108" s="59"/>
      <c r="G108" s="59"/>
      <c r="H108" s="59"/>
      <c r="I108" s="59"/>
      <c r="J108" s="59"/>
      <c r="K108" s="59"/>
      <c r="L108" s="59"/>
      <c r="M108" s="59"/>
      <c r="N108" s="59"/>
      <c r="O108" s="59"/>
    </row>
    <row r="109" spans="1:16">
      <c r="D109" s="59"/>
      <c r="E109" s="59"/>
      <c r="F109" s="59"/>
      <c r="G109" s="59"/>
      <c r="H109" s="59"/>
      <c r="I109" s="59"/>
      <c r="J109" s="59"/>
      <c r="K109" s="59"/>
      <c r="L109" s="59"/>
      <c r="M109" s="59"/>
      <c r="N109" s="59"/>
      <c r="O109" s="59"/>
    </row>
    <row r="110" spans="1:16">
      <c r="D110" s="59"/>
      <c r="E110" s="59"/>
      <c r="F110" s="59"/>
      <c r="G110" s="59"/>
      <c r="H110" s="59"/>
      <c r="I110" s="59"/>
      <c r="J110" s="59"/>
      <c r="K110" s="59"/>
      <c r="L110" s="59"/>
      <c r="M110" s="59"/>
      <c r="N110" s="59"/>
      <c r="O110" s="59"/>
    </row>
    <row r="111" spans="1:16">
      <c r="D111" s="59"/>
      <c r="E111" s="59"/>
      <c r="F111" s="59"/>
      <c r="G111" s="59"/>
      <c r="H111" s="59"/>
      <c r="I111" s="59"/>
      <c r="J111" s="59"/>
      <c r="K111" s="59"/>
      <c r="L111" s="59"/>
      <c r="M111" s="59"/>
      <c r="N111" s="59"/>
      <c r="O111" s="59"/>
    </row>
    <row r="112" spans="1:16">
      <c r="D112" s="59"/>
      <c r="E112" s="59"/>
      <c r="F112" s="59"/>
      <c r="G112" s="59"/>
      <c r="H112" s="59"/>
      <c r="I112" s="59"/>
      <c r="J112" s="59"/>
      <c r="K112" s="59"/>
      <c r="L112" s="59"/>
      <c r="M112" s="59"/>
      <c r="N112" s="59"/>
      <c r="O112" s="59"/>
    </row>
    <row r="113" s="59" customFormat="1"/>
    <row r="114" s="59" customFormat="1"/>
    <row r="115" s="59" customFormat="1"/>
    <row r="116" s="59" customFormat="1"/>
    <row r="117" s="59" customFormat="1"/>
    <row r="118" s="59" customFormat="1"/>
    <row r="119" s="59" customFormat="1"/>
    <row r="120" s="59" customFormat="1"/>
    <row r="121" s="59" customFormat="1"/>
    <row r="122" s="59" customFormat="1"/>
    <row r="123" s="59" customFormat="1"/>
    <row r="124" s="59" customFormat="1"/>
    <row r="125" s="59" customFormat="1"/>
    <row r="126" s="59" customFormat="1"/>
    <row r="127" s="59" customFormat="1"/>
    <row r="128" s="59" customFormat="1"/>
    <row r="129" s="59" customFormat="1"/>
    <row r="130" s="59" customFormat="1"/>
    <row r="131" s="59" customFormat="1"/>
    <row r="132" s="59" customFormat="1"/>
    <row r="133" s="59" customFormat="1"/>
    <row r="134" s="59" customFormat="1"/>
    <row r="135" s="59" customFormat="1"/>
    <row r="136" s="59" customFormat="1"/>
    <row r="137" s="59" customFormat="1"/>
    <row r="138" s="59" customFormat="1"/>
    <row r="139" s="59" customFormat="1"/>
    <row r="140" s="59" customFormat="1"/>
    <row r="141" s="59" customFormat="1"/>
    <row r="142" s="59" customFormat="1"/>
    <row r="143" s="59" customFormat="1"/>
    <row r="144" s="59" customFormat="1"/>
    <row r="145" s="59" customFormat="1"/>
    <row r="146" s="59" customFormat="1"/>
    <row r="147" s="59" customFormat="1"/>
    <row r="148" s="59" customFormat="1"/>
    <row r="149" s="59" customFormat="1"/>
    <row r="150" s="59" customFormat="1"/>
    <row r="151" s="59" customFormat="1"/>
    <row r="152" s="59" customFormat="1"/>
    <row r="153" s="59" customFormat="1"/>
    <row r="154" s="59" customFormat="1"/>
    <row r="155" s="59" customFormat="1"/>
    <row r="156" s="59" customFormat="1"/>
    <row r="157" s="59" customFormat="1"/>
    <row r="158" s="59" customFormat="1"/>
    <row r="159" s="59" customFormat="1"/>
    <row r="160" s="59" customFormat="1"/>
    <row r="161" s="59" customFormat="1"/>
    <row r="162" s="59" customFormat="1"/>
    <row r="163" s="59" customFormat="1"/>
    <row r="164" s="59" customFormat="1"/>
    <row r="165" s="59" customFormat="1"/>
    <row r="166" s="59" customFormat="1"/>
    <row r="167" s="59" customFormat="1"/>
    <row r="168" s="59" customFormat="1"/>
    <row r="169" s="59" customFormat="1"/>
    <row r="170" s="59" customFormat="1"/>
    <row r="171" s="59" customFormat="1"/>
    <row r="172" s="59" customFormat="1"/>
    <row r="173" s="59" customFormat="1"/>
    <row r="174" s="59" customFormat="1"/>
    <row r="175" s="59" customFormat="1"/>
    <row r="176" s="59" customFormat="1"/>
    <row r="177" s="59" customFormat="1"/>
    <row r="178" s="59" customFormat="1"/>
    <row r="179" s="59" customFormat="1"/>
    <row r="180" s="59" customFormat="1"/>
    <row r="181" s="59" customFormat="1"/>
    <row r="182" s="59" customFormat="1"/>
    <row r="183" s="59" customFormat="1"/>
    <row r="184" s="59" customFormat="1"/>
    <row r="185" s="59" customFormat="1"/>
    <row r="186" s="59" customFormat="1"/>
    <row r="187" s="59" customFormat="1"/>
    <row r="188" s="59" customFormat="1"/>
    <row r="189" s="59" customFormat="1"/>
    <row r="190" s="59" customFormat="1"/>
    <row r="191" s="59" customFormat="1"/>
    <row r="192" s="59" customFormat="1"/>
    <row r="193" s="59" customFormat="1"/>
    <row r="194" s="59" customFormat="1"/>
    <row r="195" s="59" customFormat="1"/>
    <row r="196" s="59" customFormat="1"/>
    <row r="197" s="59" customFormat="1"/>
    <row r="198" s="59" customFormat="1"/>
    <row r="199" s="59" customFormat="1"/>
    <row r="200" s="59" customFormat="1"/>
    <row r="201" s="59" customFormat="1"/>
    <row r="202" s="59" customFormat="1"/>
    <row r="203" s="59" customFormat="1"/>
    <row r="204" s="59" customFormat="1"/>
    <row r="205" s="59" customFormat="1"/>
    <row r="206" s="59" customFormat="1"/>
    <row r="207" s="59" customFormat="1"/>
    <row r="208" s="59" customFormat="1"/>
    <row r="209" s="59" customFormat="1"/>
    <row r="210" s="59" customFormat="1"/>
    <row r="211" s="59" customFormat="1"/>
    <row r="212" s="59" customFormat="1"/>
    <row r="213" s="59" customFormat="1"/>
    <row r="214" s="59" customFormat="1"/>
    <row r="215" s="59" customFormat="1"/>
    <row r="216" s="59" customFormat="1"/>
    <row r="217" s="59" customFormat="1"/>
    <row r="218" s="59" customFormat="1"/>
    <row r="219" s="59" customFormat="1"/>
    <row r="220" s="59" customFormat="1"/>
    <row r="221" s="59" customFormat="1"/>
    <row r="222" s="59" customFormat="1"/>
    <row r="223" s="59" customFormat="1"/>
    <row r="224" s="59" customFormat="1"/>
    <row r="225" s="59" customFormat="1"/>
    <row r="226" s="59" customFormat="1"/>
    <row r="227" s="59" customFormat="1"/>
    <row r="228" s="59" customFormat="1"/>
    <row r="229" s="59" customFormat="1"/>
    <row r="230" s="59" customFormat="1"/>
    <row r="231" s="59" customFormat="1"/>
    <row r="232" s="59" customFormat="1"/>
    <row r="233" s="59" customFormat="1"/>
    <row r="234" s="59" customFormat="1"/>
    <row r="235" s="59" customFormat="1"/>
    <row r="236" s="59" customFormat="1"/>
    <row r="237" s="59" customFormat="1"/>
    <row r="238" s="59" customFormat="1"/>
    <row r="239" s="59" customFormat="1"/>
    <row r="240" s="59" customFormat="1"/>
    <row r="241" s="59" customFormat="1"/>
    <row r="242" s="59" customFormat="1"/>
    <row r="243" s="59" customFormat="1"/>
    <row r="244" s="59" customFormat="1"/>
    <row r="245" s="59" customFormat="1"/>
    <row r="246" s="59" customFormat="1"/>
    <row r="247" s="59" customFormat="1"/>
    <row r="248" s="59" customFormat="1"/>
    <row r="249" s="59" customFormat="1"/>
    <row r="250" s="59" customFormat="1"/>
    <row r="251" s="59" customFormat="1"/>
    <row r="252" s="59" customFormat="1"/>
    <row r="253" s="59" customFormat="1"/>
    <row r="254" s="59" customFormat="1"/>
    <row r="255" s="59" customFormat="1"/>
    <row r="256" s="59" customFormat="1"/>
    <row r="257" s="59" customFormat="1"/>
    <row r="258" s="59" customFormat="1"/>
    <row r="259" s="59" customFormat="1"/>
    <row r="260" s="59" customFormat="1"/>
    <row r="261" s="59" customFormat="1"/>
    <row r="262" s="59" customFormat="1"/>
    <row r="263" s="59" customFormat="1"/>
    <row r="264" s="59" customFormat="1"/>
    <row r="265" s="59" customFormat="1"/>
    <row r="266" s="59" customFormat="1"/>
    <row r="267" s="59" customFormat="1"/>
    <row r="268" s="59" customFormat="1"/>
    <row r="269" s="59" customFormat="1"/>
    <row r="270" s="59" customFormat="1"/>
    <row r="271" s="59" customFormat="1"/>
    <row r="272" s="59" customFormat="1"/>
    <row r="273" s="59" customFormat="1"/>
    <row r="274" s="59" customFormat="1"/>
    <row r="275" s="59" customFormat="1"/>
    <row r="276" s="59" customFormat="1"/>
    <row r="277" s="59" customFormat="1"/>
    <row r="278" s="59" customFormat="1"/>
    <row r="279" s="59" customFormat="1"/>
    <row r="280" s="59" customFormat="1"/>
    <row r="281" s="59" customFormat="1"/>
    <row r="282" s="59" customFormat="1"/>
    <row r="283" s="59" customFormat="1"/>
    <row r="284" s="59" customFormat="1"/>
    <row r="285" s="59" customFormat="1"/>
    <row r="286" s="59" customFormat="1"/>
    <row r="287" s="59" customFormat="1"/>
    <row r="288" s="59" customFormat="1"/>
    <row r="289" s="59" customFormat="1"/>
    <row r="290" s="59" customFormat="1"/>
    <row r="291" s="59" customFormat="1"/>
    <row r="292" s="59" customFormat="1"/>
    <row r="293" s="59" customFormat="1"/>
    <row r="294" s="59" customFormat="1"/>
    <row r="295" s="59" customFormat="1"/>
    <row r="296" s="59" customFormat="1"/>
    <row r="297" s="59" customFormat="1"/>
    <row r="298" s="59" customFormat="1"/>
    <row r="299" s="59" customFormat="1"/>
    <row r="300" s="59" customFormat="1"/>
    <row r="301" s="59" customFormat="1"/>
    <row r="302" s="59" customFormat="1"/>
    <row r="303" s="59" customFormat="1"/>
    <row r="304" s="59" customFormat="1"/>
    <row r="305" s="59" customFormat="1"/>
    <row r="306" s="59" customFormat="1"/>
    <row r="307" s="59" customFormat="1"/>
    <row r="308" s="59" customFormat="1"/>
    <row r="309" s="59" customFormat="1"/>
    <row r="310" s="59" customFormat="1"/>
    <row r="311" s="59" customFormat="1"/>
    <row r="312" s="59" customFormat="1"/>
    <row r="313" s="59" customFormat="1"/>
    <row r="314" s="59" customFormat="1"/>
    <row r="315" s="59" customFormat="1"/>
    <row r="316" s="59" customFormat="1"/>
    <row r="317" s="59" customFormat="1"/>
    <row r="318" s="59" customFormat="1"/>
    <row r="319" s="59" customFormat="1"/>
    <row r="320" s="59" customFormat="1"/>
    <row r="321" s="59" customFormat="1"/>
    <row r="322" s="59" customFormat="1"/>
    <row r="323" s="59" customFormat="1"/>
    <row r="324" s="59" customFormat="1"/>
    <row r="325" s="59" customFormat="1"/>
    <row r="326" s="59" customFormat="1"/>
    <row r="327" s="59" customFormat="1"/>
    <row r="328" s="59" customFormat="1"/>
    <row r="329" s="59" customFormat="1"/>
    <row r="330" s="59" customFormat="1"/>
    <row r="331" s="59" customFormat="1"/>
    <row r="332" s="59" customFormat="1"/>
    <row r="333" s="59" customFormat="1"/>
    <row r="334" s="59" customFormat="1"/>
    <row r="335" s="59" customFormat="1"/>
    <row r="336" s="59" customFormat="1"/>
    <row r="337" s="59" customFormat="1"/>
    <row r="338" s="59" customFormat="1"/>
    <row r="339" s="59" customFormat="1"/>
    <row r="340" s="59" customFormat="1"/>
    <row r="341" s="59" customFormat="1"/>
    <row r="342" s="59" customFormat="1"/>
    <row r="343" s="59" customFormat="1"/>
    <row r="344" s="59" customFormat="1"/>
    <row r="345" s="59" customFormat="1"/>
    <row r="346" s="59" customFormat="1"/>
    <row r="347" s="59" customFormat="1"/>
    <row r="348" s="59" customFormat="1"/>
    <row r="349" s="59" customFormat="1"/>
    <row r="350" s="59" customFormat="1"/>
    <row r="351" s="59" customFormat="1"/>
    <row r="352" s="59" customFormat="1"/>
    <row r="353" s="59" customFormat="1"/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418FAC-AA78-41C0-9BF4-0D3B9752C4B5}">
  <dimension ref="A1:N11"/>
  <sheetViews>
    <sheetView zoomScale="85" zoomScaleNormal="85" workbookViewId="0">
      <selection activeCell="J5" sqref="J5"/>
    </sheetView>
  </sheetViews>
  <sheetFormatPr defaultRowHeight="16"/>
  <cols>
    <col min="1" max="16384" width="8.7265625" style="54"/>
  </cols>
  <sheetData>
    <row r="1" spans="1:14">
      <c r="A1" s="53" t="s">
        <v>305</v>
      </c>
      <c r="B1" s="53"/>
    </row>
    <row r="2" spans="1:14" ht="24.5" customHeight="1">
      <c r="A2" s="55" t="s">
        <v>162</v>
      </c>
      <c r="B2" s="55" t="s">
        <v>152</v>
      </c>
      <c r="C2" s="81" t="s">
        <v>42</v>
      </c>
      <c r="D2" s="81" t="s">
        <v>43</v>
      </c>
      <c r="E2" s="44" t="s">
        <v>47</v>
      </c>
      <c r="F2" s="44" t="s">
        <v>48</v>
      </c>
      <c r="G2" s="44" t="s">
        <v>144</v>
      </c>
      <c r="H2" s="44" t="s">
        <v>145</v>
      </c>
      <c r="I2" s="44" t="s">
        <v>146</v>
      </c>
      <c r="J2" s="44" t="s">
        <v>147</v>
      </c>
      <c r="K2" s="44" t="s">
        <v>148</v>
      </c>
      <c r="L2" s="44" t="s">
        <v>149</v>
      </c>
      <c r="M2" s="44" t="s">
        <v>150</v>
      </c>
      <c r="N2" s="44" t="s">
        <v>151</v>
      </c>
    </row>
    <row r="3" spans="1:14" ht="24.5" customHeight="1">
      <c r="A3" s="3" t="s">
        <v>2</v>
      </c>
      <c r="B3" s="3" t="s">
        <v>153</v>
      </c>
      <c r="C3" s="56">
        <v>0.81541193181818172</v>
      </c>
      <c r="D3" s="57">
        <v>0.79455492424242424</v>
      </c>
      <c r="E3" s="57">
        <v>0.9034801136363636</v>
      </c>
      <c r="F3" s="57">
        <v>0.78721590909090911</v>
      </c>
      <c r="G3" s="57"/>
      <c r="H3" s="58"/>
      <c r="I3" s="58"/>
      <c r="J3" s="58"/>
      <c r="K3" s="58"/>
      <c r="L3" s="58"/>
      <c r="M3" s="58"/>
      <c r="N3" s="58"/>
    </row>
    <row r="4" spans="1:14" ht="24.5" customHeight="1">
      <c r="A4" s="3" t="s">
        <v>2</v>
      </c>
      <c r="B4" s="3" t="s">
        <v>154</v>
      </c>
      <c r="C4" s="56">
        <v>1.0926294191919204</v>
      </c>
      <c r="D4" s="57">
        <v>1.0602982954545466</v>
      </c>
      <c r="E4" s="57">
        <v>1.0719854797979811</v>
      </c>
      <c r="F4" s="57">
        <v>1.0687815656565662</v>
      </c>
      <c r="G4" s="57"/>
      <c r="H4" s="58"/>
      <c r="I4" s="58"/>
      <c r="J4" s="58"/>
      <c r="K4" s="58"/>
      <c r="L4" s="58"/>
      <c r="M4" s="58"/>
      <c r="N4" s="58"/>
    </row>
    <row r="5" spans="1:14" ht="24.5" customHeight="1">
      <c r="A5" s="3" t="s">
        <v>2</v>
      </c>
      <c r="B5" s="3" t="s">
        <v>155</v>
      </c>
      <c r="C5" s="56">
        <v>0.95951704545454541</v>
      </c>
      <c r="D5" s="57">
        <v>1.034375</v>
      </c>
      <c r="E5" s="57">
        <v>1.1954703282828283</v>
      </c>
      <c r="F5" s="57">
        <v>1.353811553030303</v>
      </c>
      <c r="G5" s="57"/>
      <c r="H5" s="58"/>
      <c r="I5" s="58"/>
      <c r="J5" s="58"/>
      <c r="K5" s="58"/>
      <c r="L5" s="58"/>
      <c r="M5" s="58"/>
      <c r="N5" s="58"/>
    </row>
    <row r="6" spans="1:14" ht="24.5" customHeight="1">
      <c r="A6" s="3" t="s">
        <v>2</v>
      </c>
      <c r="B6" s="3" t="s">
        <v>156</v>
      </c>
      <c r="C6" s="56">
        <v>0.78371212121212119</v>
      </c>
      <c r="D6" s="57">
        <v>0.79348169191919193</v>
      </c>
      <c r="E6" s="57">
        <v>0.81051925505050493</v>
      </c>
      <c r="F6" s="57">
        <v>0.74292140151515151</v>
      </c>
      <c r="G6" s="57"/>
      <c r="H6" s="58"/>
      <c r="I6" s="58"/>
      <c r="J6" s="58"/>
      <c r="K6" s="58"/>
      <c r="L6" s="58"/>
      <c r="M6" s="58"/>
      <c r="N6" s="58"/>
    </row>
    <row r="7" spans="1:14" ht="24.5" customHeight="1">
      <c r="A7" s="3" t="s">
        <v>2</v>
      </c>
      <c r="B7" s="3" t="s">
        <v>157</v>
      </c>
      <c r="C7" s="56">
        <v>1.681344696969697</v>
      </c>
      <c r="D7" s="57">
        <v>1.556155303030303</v>
      </c>
      <c r="E7" s="57">
        <v>1.8897253787878787</v>
      </c>
      <c r="F7" s="57">
        <v>2.1298532196969697</v>
      </c>
      <c r="G7" s="57"/>
      <c r="H7" s="58"/>
      <c r="I7" s="58"/>
      <c r="J7" s="58"/>
      <c r="K7" s="58"/>
      <c r="L7" s="58"/>
      <c r="M7" s="58"/>
      <c r="N7" s="58"/>
    </row>
    <row r="8" spans="1:14" ht="24.5" customHeight="1">
      <c r="A8" s="3" t="s">
        <v>2</v>
      </c>
      <c r="B8" s="3" t="s">
        <v>158</v>
      </c>
      <c r="C8" s="56">
        <v>0.95852272727272725</v>
      </c>
      <c r="D8" s="57">
        <v>1.0760179924242423</v>
      </c>
      <c r="E8" s="57">
        <v>0.9447916666666667</v>
      </c>
      <c r="F8" s="57">
        <v>1.1360085227272727</v>
      </c>
      <c r="G8" s="57"/>
      <c r="H8" s="58"/>
      <c r="I8" s="58"/>
      <c r="J8" s="58"/>
      <c r="K8" s="58"/>
      <c r="L8" s="58"/>
      <c r="M8" s="58"/>
      <c r="N8" s="58"/>
    </row>
    <row r="9" spans="1:14" ht="24.5" customHeight="1">
      <c r="A9" s="3" t="s">
        <v>2</v>
      </c>
      <c r="B9" s="3" t="s">
        <v>159</v>
      </c>
      <c r="C9" s="56">
        <v>1.5947127525252518</v>
      </c>
      <c r="D9" s="57">
        <v>1.4549558080808076</v>
      </c>
      <c r="E9" s="57">
        <v>1.8606613005050507</v>
      </c>
      <c r="F9" s="57">
        <v>1.3066998106060597</v>
      </c>
      <c r="G9" s="57"/>
      <c r="H9" s="58"/>
      <c r="I9" s="58"/>
      <c r="J9" s="58"/>
      <c r="K9" s="58"/>
      <c r="L9" s="58"/>
      <c r="M9" s="58"/>
      <c r="N9" s="58"/>
    </row>
    <row r="10" spans="1:14" ht="24.5" customHeight="1">
      <c r="A10" s="3" t="s">
        <v>2</v>
      </c>
      <c r="B10" s="3" t="s">
        <v>160</v>
      </c>
      <c r="C10" s="56">
        <v>0.97215909090909092</v>
      </c>
      <c r="D10" s="57">
        <v>0.95999053030303039</v>
      </c>
      <c r="E10" s="57">
        <v>1.0148200757575756</v>
      </c>
      <c r="F10" s="57">
        <v>1.036813446969697</v>
      </c>
      <c r="G10" s="57"/>
      <c r="H10" s="58"/>
      <c r="I10" s="58"/>
      <c r="J10" s="58"/>
      <c r="K10" s="58"/>
      <c r="L10" s="58"/>
      <c r="M10" s="58"/>
      <c r="N10" s="58"/>
    </row>
    <row r="11" spans="1:14" ht="24.5" customHeight="1">
      <c r="A11" s="3" t="s">
        <v>2</v>
      </c>
      <c r="B11" s="3" t="s">
        <v>161</v>
      </c>
      <c r="C11" s="56">
        <v>1.3566287878787879</v>
      </c>
      <c r="D11" s="57">
        <v>1.3369318181818182</v>
      </c>
      <c r="E11" s="57">
        <v>1.470785984848485</v>
      </c>
      <c r="F11" s="57">
        <v>1.5597064393939393</v>
      </c>
      <c r="G11" s="57"/>
      <c r="H11" s="58"/>
      <c r="I11" s="58"/>
      <c r="J11" s="58"/>
      <c r="K11" s="58"/>
      <c r="L11" s="58"/>
      <c r="M11" s="58"/>
      <c r="N11" s="58"/>
    </row>
  </sheetData>
  <phoneticPr fontId="3" type="noConversion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AC7A06-A2E4-4CC8-9045-1D086ED83B34}">
  <dimension ref="A1:O75"/>
  <sheetViews>
    <sheetView topLeftCell="A39" zoomScale="85" zoomScaleNormal="85" workbookViewId="0">
      <selection activeCell="E13" sqref="E13"/>
    </sheetView>
  </sheetViews>
  <sheetFormatPr defaultRowHeight="16"/>
  <cols>
    <col min="1" max="1" width="8.7265625" style="2"/>
    <col min="2" max="2" width="12" style="2" customWidth="1"/>
    <col min="3" max="16384" width="8.7265625" style="2"/>
  </cols>
  <sheetData>
    <row r="1" spans="1:15">
      <c r="A1" s="1" t="s">
        <v>306</v>
      </c>
    </row>
    <row r="2" spans="1:15" ht="23" customHeight="1">
      <c r="A2" s="44" t="s">
        <v>5</v>
      </c>
      <c r="B2" s="44" t="s">
        <v>163</v>
      </c>
      <c r="C2" s="81" t="s">
        <v>42</v>
      </c>
      <c r="D2" s="81" t="s">
        <v>43</v>
      </c>
      <c r="E2" s="44" t="s">
        <v>47</v>
      </c>
      <c r="F2" s="44" t="s">
        <v>48</v>
      </c>
      <c r="G2" s="44" t="s">
        <v>144</v>
      </c>
      <c r="H2" s="44" t="s">
        <v>145</v>
      </c>
      <c r="I2" s="44" t="s">
        <v>146</v>
      </c>
      <c r="J2" s="44" t="s">
        <v>147</v>
      </c>
      <c r="K2" s="44" t="s">
        <v>148</v>
      </c>
      <c r="L2" s="44" t="s">
        <v>149</v>
      </c>
      <c r="M2" s="44" t="s">
        <v>150</v>
      </c>
      <c r="N2" s="44" t="s">
        <v>151</v>
      </c>
      <c r="O2" s="45" t="s">
        <v>0</v>
      </c>
    </row>
    <row r="3" spans="1:15">
      <c r="A3" s="49" t="s">
        <v>2</v>
      </c>
      <c r="B3" s="49" t="s">
        <v>164</v>
      </c>
      <c r="C3" s="49">
        <v>24</v>
      </c>
      <c r="D3" s="49">
        <v>19</v>
      </c>
      <c r="E3" s="49"/>
      <c r="F3" s="49"/>
      <c r="G3" s="49"/>
      <c r="H3" s="49"/>
      <c r="I3" s="49"/>
      <c r="J3" s="49"/>
      <c r="K3" s="49"/>
      <c r="L3" s="49"/>
      <c r="M3" s="49"/>
      <c r="N3" s="49"/>
      <c r="O3" s="52">
        <f>IF(SUM(C3:N3)=0,"",SUM(C3:N3))</f>
        <v>43</v>
      </c>
    </row>
    <row r="4" spans="1:15">
      <c r="A4" s="49" t="s">
        <v>2</v>
      </c>
      <c r="B4" s="49" t="s">
        <v>165</v>
      </c>
      <c r="C4" s="49">
        <v>54</v>
      </c>
      <c r="D4" s="49">
        <v>66</v>
      </c>
      <c r="E4" s="49"/>
      <c r="F4" s="49"/>
      <c r="G4" s="49"/>
      <c r="H4" s="49"/>
      <c r="I4" s="49"/>
      <c r="J4" s="49"/>
      <c r="K4" s="49"/>
      <c r="L4" s="49"/>
      <c r="M4" s="49"/>
      <c r="N4" s="49"/>
      <c r="O4" s="52">
        <f t="shared" ref="O4:O67" si="0">IF(SUM(C4:N4)=0,"",SUM(C4:N4))</f>
        <v>120</v>
      </c>
    </row>
    <row r="5" spans="1:15">
      <c r="A5" s="49" t="s">
        <v>2</v>
      </c>
      <c r="B5" s="49" t="s">
        <v>166</v>
      </c>
      <c r="C5" s="49">
        <v>193</v>
      </c>
      <c r="D5" s="49">
        <v>175</v>
      </c>
      <c r="E5" s="49"/>
      <c r="F5" s="49"/>
      <c r="G5" s="49"/>
      <c r="H5" s="49"/>
      <c r="I5" s="49"/>
      <c r="J5" s="49"/>
      <c r="K5" s="49"/>
      <c r="L5" s="49"/>
      <c r="M5" s="49"/>
      <c r="N5" s="49"/>
      <c r="O5" s="52">
        <f t="shared" si="0"/>
        <v>368</v>
      </c>
    </row>
    <row r="6" spans="1:15">
      <c r="A6" s="49" t="s">
        <v>2</v>
      </c>
      <c r="B6" s="49" t="s">
        <v>167</v>
      </c>
      <c r="C6" s="49">
        <v>1</v>
      </c>
      <c r="D6" s="49"/>
      <c r="E6" s="49"/>
      <c r="F6" s="49"/>
      <c r="G6" s="49"/>
      <c r="H6" s="49"/>
      <c r="I6" s="49"/>
      <c r="J6" s="49"/>
      <c r="K6" s="49"/>
      <c r="L6" s="49"/>
      <c r="M6" s="49"/>
      <c r="N6" s="49"/>
      <c r="O6" s="52">
        <f t="shared" si="0"/>
        <v>1</v>
      </c>
    </row>
    <row r="7" spans="1:15">
      <c r="A7" s="49" t="s">
        <v>2</v>
      </c>
      <c r="B7" s="49" t="s">
        <v>168</v>
      </c>
      <c r="C7" s="49">
        <v>21</v>
      </c>
      <c r="D7" s="49">
        <v>24</v>
      </c>
      <c r="E7" s="49"/>
      <c r="F7" s="49"/>
      <c r="G7" s="49"/>
      <c r="H7" s="49"/>
      <c r="I7" s="49"/>
      <c r="J7" s="49"/>
      <c r="K7" s="49"/>
      <c r="L7" s="49"/>
      <c r="M7" s="49"/>
      <c r="N7" s="49"/>
      <c r="O7" s="52">
        <f t="shared" si="0"/>
        <v>45</v>
      </c>
    </row>
    <row r="8" spans="1:15">
      <c r="A8" s="49" t="s">
        <v>2</v>
      </c>
      <c r="B8" s="49" t="s">
        <v>169</v>
      </c>
      <c r="C8" s="49">
        <v>1</v>
      </c>
      <c r="D8" s="49">
        <v>1</v>
      </c>
      <c r="E8" s="49"/>
      <c r="F8" s="49"/>
      <c r="G8" s="49"/>
      <c r="H8" s="49"/>
      <c r="I8" s="49"/>
      <c r="J8" s="49"/>
      <c r="K8" s="49"/>
      <c r="L8" s="49"/>
      <c r="M8" s="49"/>
      <c r="N8" s="49"/>
      <c r="O8" s="52">
        <f t="shared" si="0"/>
        <v>2</v>
      </c>
    </row>
    <row r="9" spans="1:15">
      <c r="A9" s="49" t="s">
        <v>2</v>
      </c>
      <c r="B9" s="49" t="s">
        <v>170</v>
      </c>
      <c r="C9" s="49">
        <v>70</v>
      </c>
      <c r="D9" s="49">
        <v>77</v>
      </c>
      <c r="E9" s="49"/>
      <c r="F9" s="49"/>
      <c r="G9" s="49"/>
      <c r="H9" s="49"/>
      <c r="I9" s="49"/>
      <c r="J9" s="49"/>
      <c r="K9" s="49"/>
      <c r="L9" s="49"/>
      <c r="M9" s="49"/>
      <c r="N9" s="49"/>
      <c r="O9" s="52">
        <f t="shared" si="0"/>
        <v>147</v>
      </c>
    </row>
    <row r="10" spans="1:15">
      <c r="A10" s="49" t="s">
        <v>2</v>
      </c>
      <c r="B10" s="49" t="s">
        <v>171</v>
      </c>
      <c r="C10" s="49"/>
      <c r="D10" s="49">
        <v>4</v>
      </c>
      <c r="E10" s="49"/>
      <c r="F10" s="49"/>
      <c r="G10" s="49"/>
      <c r="H10" s="49"/>
      <c r="I10" s="49"/>
      <c r="J10" s="49"/>
      <c r="K10" s="49"/>
      <c r="L10" s="49"/>
      <c r="M10" s="49"/>
      <c r="N10" s="49"/>
      <c r="O10" s="52">
        <f t="shared" si="0"/>
        <v>4</v>
      </c>
    </row>
    <row r="11" spans="1:15">
      <c r="A11" s="49" t="s">
        <v>2</v>
      </c>
      <c r="B11" s="49" t="s">
        <v>172</v>
      </c>
      <c r="C11" s="49">
        <v>113</v>
      </c>
      <c r="D11" s="49">
        <v>114</v>
      </c>
      <c r="E11" s="49"/>
      <c r="F11" s="49"/>
      <c r="G11" s="49"/>
      <c r="H11" s="49"/>
      <c r="I11" s="49"/>
      <c r="J11" s="49"/>
      <c r="K11" s="49"/>
      <c r="L11" s="49"/>
      <c r="M11" s="49"/>
      <c r="N11" s="49"/>
      <c r="O11" s="52">
        <f t="shared" si="0"/>
        <v>227</v>
      </c>
    </row>
    <row r="12" spans="1:15">
      <c r="A12" s="49" t="s">
        <v>2</v>
      </c>
      <c r="B12" s="49" t="s">
        <v>173</v>
      </c>
      <c r="C12" s="49">
        <v>12</v>
      </c>
      <c r="D12" s="49">
        <v>13</v>
      </c>
      <c r="E12" s="49"/>
      <c r="F12" s="49"/>
      <c r="G12" s="49"/>
      <c r="H12" s="49"/>
      <c r="I12" s="49"/>
      <c r="J12" s="49"/>
      <c r="K12" s="49"/>
      <c r="L12" s="49"/>
      <c r="M12" s="49"/>
      <c r="N12" s="49"/>
      <c r="O12" s="52">
        <f t="shared" si="0"/>
        <v>25</v>
      </c>
    </row>
    <row r="13" spans="1:15">
      <c r="A13" s="49" t="s">
        <v>2</v>
      </c>
      <c r="B13" s="49" t="s">
        <v>174</v>
      </c>
      <c r="C13" s="49">
        <v>166</v>
      </c>
      <c r="D13" s="49">
        <v>213</v>
      </c>
      <c r="E13" s="49"/>
      <c r="F13" s="49"/>
      <c r="G13" s="49"/>
      <c r="H13" s="49"/>
      <c r="I13" s="49"/>
      <c r="J13" s="49"/>
      <c r="K13" s="49"/>
      <c r="L13" s="49"/>
      <c r="M13" s="49"/>
      <c r="N13" s="49"/>
      <c r="O13" s="52">
        <f t="shared" si="0"/>
        <v>379</v>
      </c>
    </row>
    <row r="14" spans="1:15">
      <c r="A14" s="49" t="s">
        <v>2</v>
      </c>
      <c r="B14" s="49" t="s">
        <v>175</v>
      </c>
      <c r="C14" s="49"/>
      <c r="D14" s="49">
        <v>6</v>
      </c>
      <c r="E14" s="49"/>
      <c r="F14" s="49"/>
      <c r="G14" s="49"/>
      <c r="H14" s="49"/>
      <c r="I14" s="49"/>
      <c r="J14" s="49"/>
      <c r="K14" s="49"/>
      <c r="L14" s="49"/>
      <c r="M14" s="49"/>
      <c r="N14" s="49"/>
      <c r="O14" s="52">
        <f t="shared" si="0"/>
        <v>6</v>
      </c>
    </row>
    <row r="15" spans="1:15">
      <c r="A15" s="49" t="s">
        <v>2</v>
      </c>
      <c r="B15" s="49" t="s">
        <v>176</v>
      </c>
      <c r="C15" s="49">
        <v>162</v>
      </c>
      <c r="D15" s="49">
        <v>84</v>
      </c>
      <c r="E15" s="49"/>
      <c r="F15" s="49"/>
      <c r="G15" s="49"/>
      <c r="H15" s="49"/>
      <c r="I15" s="49"/>
      <c r="J15" s="49"/>
      <c r="K15" s="49"/>
      <c r="L15" s="49"/>
      <c r="M15" s="49"/>
      <c r="N15" s="49"/>
      <c r="O15" s="52">
        <f t="shared" si="0"/>
        <v>246</v>
      </c>
    </row>
    <row r="16" spans="1:15">
      <c r="A16" s="49" t="s">
        <v>2</v>
      </c>
      <c r="B16" s="49" t="s">
        <v>177</v>
      </c>
      <c r="C16" s="49">
        <v>195</v>
      </c>
      <c r="D16" s="49">
        <v>205</v>
      </c>
      <c r="E16" s="49"/>
      <c r="F16" s="49"/>
      <c r="G16" s="49"/>
      <c r="H16" s="49"/>
      <c r="I16" s="49"/>
      <c r="J16" s="49"/>
      <c r="K16" s="49"/>
      <c r="L16" s="49"/>
      <c r="M16" s="49"/>
      <c r="N16" s="49"/>
      <c r="O16" s="52">
        <f t="shared" si="0"/>
        <v>400</v>
      </c>
    </row>
    <row r="17" spans="1:15">
      <c r="A17" s="49" t="s">
        <v>2</v>
      </c>
      <c r="B17" s="49" t="s">
        <v>178</v>
      </c>
      <c r="C17" s="49">
        <v>15</v>
      </c>
      <c r="D17" s="49">
        <v>19</v>
      </c>
      <c r="E17" s="49"/>
      <c r="F17" s="49"/>
      <c r="G17" s="49"/>
      <c r="H17" s="49"/>
      <c r="I17" s="49"/>
      <c r="J17" s="49"/>
      <c r="K17" s="49"/>
      <c r="L17" s="49"/>
      <c r="M17" s="49"/>
      <c r="N17" s="49"/>
      <c r="O17" s="52">
        <f t="shared" si="0"/>
        <v>34</v>
      </c>
    </row>
    <row r="18" spans="1:15">
      <c r="A18" s="49" t="s">
        <v>2</v>
      </c>
      <c r="B18" s="49" t="s">
        <v>179</v>
      </c>
      <c r="C18" s="49">
        <v>3</v>
      </c>
      <c r="D18" s="49"/>
      <c r="E18" s="49"/>
      <c r="F18" s="49"/>
      <c r="G18" s="49"/>
      <c r="H18" s="49"/>
      <c r="I18" s="49"/>
      <c r="J18" s="49"/>
      <c r="K18" s="49"/>
      <c r="L18" s="49"/>
      <c r="M18" s="49"/>
      <c r="N18" s="49"/>
      <c r="O18" s="52">
        <f t="shared" si="0"/>
        <v>3</v>
      </c>
    </row>
    <row r="19" spans="1:15">
      <c r="A19" s="49" t="s">
        <v>2</v>
      </c>
      <c r="B19" s="49" t="s">
        <v>180</v>
      </c>
      <c r="C19" s="49">
        <v>4</v>
      </c>
      <c r="D19" s="49">
        <v>4</v>
      </c>
      <c r="E19" s="49"/>
      <c r="F19" s="49"/>
      <c r="G19" s="49"/>
      <c r="H19" s="49"/>
      <c r="I19" s="49"/>
      <c r="J19" s="49"/>
      <c r="K19" s="49"/>
      <c r="L19" s="49"/>
      <c r="M19" s="49"/>
      <c r="N19" s="49"/>
      <c r="O19" s="52">
        <f t="shared" si="0"/>
        <v>8</v>
      </c>
    </row>
    <row r="20" spans="1:15">
      <c r="A20" s="49" t="s">
        <v>2</v>
      </c>
      <c r="B20" s="49" t="s">
        <v>181</v>
      </c>
      <c r="C20" s="49">
        <v>1</v>
      </c>
      <c r="D20" s="49">
        <v>2</v>
      </c>
      <c r="E20" s="49"/>
      <c r="F20" s="49"/>
      <c r="G20" s="49"/>
      <c r="H20" s="49"/>
      <c r="I20" s="49"/>
      <c r="J20" s="49"/>
      <c r="K20" s="49"/>
      <c r="L20" s="49"/>
      <c r="M20" s="49"/>
      <c r="N20" s="49"/>
      <c r="O20" s="52">
        <f t="shared" si="0"/>
        <v>3</v>
      </c>
    </row>
    <row r="21" spans="1:15">
      <c r="A21" s="49" t="s">
        <v>2</v>
      </c>
      <c r="B21" s="49" t="s">
        <v>182</v>
      </c>
      <c r="C21" s="49">
        <v>1</v>
      </c>
      <c r="D21" s="49"/>
      <c r="E21" s="49"/>
      <c r="F21" s="49"/>
      <c r="G21" s="49"/>
      <c r="H21" s="49"/>
      <c r="I21" s="49"/>
      <c r="J21" s="49"/>
      <c r="K21" s="49"/>
      <c r="L21" s="49"/>
      <c r="M21" s="49"/>
      <c r="N21" s="49"/>
      <c r="O21" s="52">
        <f t="shared" si="0"/>
        <v>1</v>
      </c>
    </row>
    <row r="22" spans="1:15">
      <c r="A22" s="49" t="s">
        <v>2</v>
      </c>
      <c r="B22" s="49" t="s">
        <v>183</v>
      </c>
      <c r="C22" s="49"/>
      <c r="D22" s="49">
        <v>1</v>
      </c>
      <c r="E22" s="49"/>
      <c r="F22" s="49"/>
      <c r="G22" s="49"/>
      <c r="H22" s="49"/>
      <c r="I22" s="49"/>
      <c r="J22" s="49"/>
      <c r="K22" s="49"/>
      <c r="L22" s="49"/>
      <c r="M22" s="49"/>
      <c r="N22" s="49"/>
      <c r="O22" s="52">
        <f t="shared" si="0"/>
        <v>1</v>
      </c>
    </row>
    <row r="23" spans="1:15">
      <c r="A23" s="49" t="s">
        <v>2</v>
      </c>
      <c r="B23" s="49" t="s">
        <v>184</v>
      </c>
      <c r="C23" s="49">
        <v>8</v>
      </c>
      <c r="D23" s="49">
        <v>6</v>
      </c>
      <c r="E23" s="49"/>
      <c r="F23" s="49"/>
      <c r="G23" s="49"/>
      <c r="H23" s="49"/>
      <c r="I23" s="49"/>
      <c r="J23" s="49"/>
      <c r="K23" s="49"/>
      <c r="L23" s="49"/>
      <c r="M23" s="49"/>
      <c r="N23" s="49"/>
      <c r="O23" s="52">
        <f t="shared" si="0"/>
        <v>14</v>
      </c>
    </row>
    <row r="24" spans="1:15">
      <c r="A24" s="49" t="s">
        <v>2</v>
      </c>
      <c r="B24" s="49" t="s">
        <v>185</v>
      </c>
      <c r="C24" s="49">
        <v>6</v>
      </c>
      <c r="D24" s="49">
        <v>6</v>
      </c>
      <c r="E24" s="49"/>
      <c r="F24" s="49"/>
      <c r="G24" s="49"/>
      <c r="H24" s="49"/>
      <c r="I24" s="49"/>
      <c r="J24" s="49"/>
      <c r="K24" s="49"/>
      <c r="L24" s="49"/>
      <c r="M24" s="49"/>
      <c r="N24" s="49"/>
      <c r="O24" s="52">
        <f t="shared" si="0"/>
        <v>12</v>
      </c>
    </row>
    <row r="25" spans="1:15">
      <c r="A25" s="49" t="s">
        <v>2</v>
      </c>
      <c r="B25" s="49" t="s">
        <v>186</v>
      </c>
      <c r="C25" s="49">
        <v>127</v>
      </c>
      <c r="D25" s="49">
        <v>136</v>
      </c>
      <c r="E25" s="49"/>
      <c r="F25" s="49"/>
      <c r="G25" s="49"/>
      <c r="H25" s="49"/>
      <c r="I25" s="49"/>
      <c r="J25" s="49"/>
      <c r="K25" s="49"/>
      <c r="L25" s="49"/>
      <c r="M25" s="49"/>
      <c r="N25" s="49"/>
      <c r="O25" s="52">
        <f t="shared" si="0"/>
        <v>263</v>
      </c>
    </row>
    <row r="26" spans="1:15">
      <c r="A26" s="49" t="s">
        <v>2</v>
      </c>
      <c r="B26" s="49" t="s">
        <v>187</v>
      </c>
      <c r="C26" s="49">
        <v>1</v>
      </c>
      <c r="D26" s="49"/>
      <c r="E26" s="49"/>
      <c r="F26" s="49"/>
      <c r="G26" s="49"/>
      <c r="H26" s="49"/>
      <c r="I26" s="49"/>
      <c r="J26" s="49"/>
      <c r="K26" s="49"/>
      <c r="L26" s="49"/>
      <c r="M26" s="49"/>
      <c r="N26" s="49"/>
      <c r="O26" s="52">
        <f t="shared" si="0"/>
        <v>1</v>
      </c>
    </row>
    <row r="27" spans="1:15">
      <c r="A27" s="49" t="s">
        <v>2</v>
      </c>
      <c r="B27" s="49" t="s">
        <v>188</v>
      </c>
      <c r="C27" s="49">
        <v>19</v>
      </c>
      <c r="D27" s="49">
        <v>28</v>
      </c>
      <c r="E27" s="49"/>
      <c r="F27" s="49"/>
      <c r="G27" s="49"/>
      <c r="H27" s="49"/>
      <c r="I27" s="49"/>
      <c r="J27" s="49"/>
      <c r="K27" s="49"/>
      <c r="L27" s="49"/>
      <c r="M27" s="49"/>
      <c r="N27" s="49"/>
      <c r="O27" s="52">
        <f t="shared" si="0"/>
        <v>47</v>
      </c>
    </row>
    <row r="28" spans="1:15">
      <c r="A28" s="49" t="s">
        <v>2</v>
      </c>
      <c r="B28" s="49" t="s">
        <v>189</v>
      </c>
      <c r="C28" s="49">
        <v>2</v>
      </c>
      <c r="D28" s="49">
        <v>2</v>
      </c>
      <c r="E28" s="49"/>
      <c r="F28" s="49"/>
      <c r="G28" s="49"/>
      <c r="H28" s="49"/>
      <c r="I28" s="49"/>
      <c r="J28" s="49"/>
      <c r="K28" s="49"/>
      <c r="L28" s="49"/>
      <c r="M28" s="49"/>
      <c r="N28" s="49"/>
      <c r="O28" s="52">
        <f t="shared" si="0"/>
        <v>4</v>
      </c>
    </row>
    <row r="29" spans="1:15">
      <c r="A29" s="49" t="s">
        <v>2</v>
      </c>
      <c r="B29" s="49" t="s">
        <v>190</v>
      </c>
      <c r="C29" s="49">
        <v>18</v>
      </c>
      <c r="D29" s="49">
        <v>20</v>
      </c>
      <c r="E29" s="49"/>
      <c r="F29" s="49"/>
      <c r="G29" s="49"/>
      <c r="H29" s="49"/>
      <c r="I29" s="49"/>
      <c r="J29" s="49"/>
      <c r="K29" s="49"/>
      <c r="L29" s="49"/>
      <c r="M29" s="49"/>
      <c r="N29" s="49"/>
      <c r="O29" s="52">
        <f t="shared" si="0"/>
        <v>38</v>
      </c>
    </row>
    <row r="30" spans="1:15">
      <c r="A30" s="49" t="s">
        <v>2</v>
      </c>
      <c r="B30" s="49" t="s">
        <v>191</v>
      </c>
      <c r="C30" s="49"/>
      <c r="D30" s="49">
        <v>1</v>
      </c>
      <c r="E30" s="49"/>
      <c r="F30" s="49"/>
      <c r="G30" s="49"/>
      <c r="H30" s="49"/>
      <c r="I30" s="49"/>
      <c r="J30" s="49"/>
      <c r="K30" s="49"/>
      <c r="L30" s="49"/>
      <c r="M30" s="49"/>
      <c r="N30" s="49"/>
      <c r="O30" s="52">
        <f t="shared" si="0"/>
        <v>1</v>
      </c>
    </row>
    <row r="31" spans="1:15">
      <c r="A31" s="49" t="s">
        <v>2</v>
      </c>
      <c r="B31" s="49" t="s">
        <v>192</v>
      </c>
      <c r="C31" s="49">
        <v>61</v>
      </c>
      <c r="D31" s="49">
        <v>45</v>
      </c>
      <c r="E31" s="49"/>
      <c r="F31" s="49"/>
      <c r="G31" s="49"/>
      <c r="H31" s="49"/>
      <c r="I31" s="49"/>
      <c r="J31" s="49"/>
      <c r="K31" s="49"/>
      <c r="L31" s="49"/>
      <c r="M31" s="49"/>
      <c r="N31" s="49"/>
      <c r="O31" s="52">
        <f t="shared" si="0"/>
        <v>106</v>
      </c>
    </row>
    <row r="32" spans="1:15">
      <c r="A32" s="49" t="s">
        <v>2</v>
      </c>
      <c r="B32" s="49" t="s">
        <v>193</v>
      </c>
      <c r="C32" s="49">
        <v>8</v>
      </c>
      <c r="D32" s="49">
        <v>16</v>
      </c>
      <c r="E32" s="49"/>
      <c r="F32" s="49"/>
      <c r="G32" s="49"/>
      <c r="H32" s="49"/>
      <c r="I32" s="49"/>
      <c r="J32" s="49"/>
      <c r="K32" s="49"/>
      <c r="L32" s="49"/>
      <c r="M32" s="49"/>
      <c r="N32" s="49"/>
      <c r="O32" s="52">
        <f t="shared" si="0"/>
        <v>24</v>
      </c>
    </row>
    <row r="33" spans="1:15">
      <c r="A33" s="49" t="s">
        <v>2</v>
      </c>
      <c r="B33" s="49" t="s">
        <v>194</v>
      </c>
      <c r="C33" s="49">
        <v>1</v>
      </c>
      <c r="D33" s="49"/>
      <c r="E33" s="49"/>
      <c r="F33" s="49"/>
      <c r="G33" s="49"/>
      <c r="H33" s="49"/>
      <c r="I33" s="49"/>
      <c r="J33" s="49"/>
      <c r="K33" s="49"/>
      <c r="L33" s="49"/>
      <c r="M33" s="49"/>
      <c r="N33" s="49"/>
      <c r="O33" s="52">
        <f t="shared" si="0"/>
        <v>1</v>
      </c>
    </row>
    <row r="34" spans="1:15">
      <c r="A34" s="49" t="s">
        <v>2</v>
      </c>
      <c r="B34" s="49" t="s">
        <v>195</v>
      </c>
      <c r="C34" s="49">
        <v>188</v>
      </c>
      <c r="D34" s="49">
        <v>287</v>
      </c>
      <c r="E34" s="49"/>
      <c r="F34" s="49"/>
      <c r="G34" s="49"/>
      <c r="H34" s="49"/>
      <c r="I34" s="49"/>
      <c r="J34" s="49"/>
      <c r="K34" s="49"/>
      <c r="L34" s="49"/>
      <c r="M34" s="49"/>
      <c r="N34" s="49"/>
      <c r="O34" s="52">
        <f t="shared" si="0"/>
        <v>475</v>
      </c>
    </row>
    <row r="35" spans="1:15">
      <c r="A35" s="49" t="s">
        <v>2</v>
      </c>
      <c r="B35" s="49" t="s">
        <v>196</v>
      </c>
      <c r="C35" s="49">
        <v>30</v>
      </c>
      <c r="D35" s="49">
        <v>15</v>
      </c>
      <c r="E35" s="49"/>
      <c r="F35" s="49"/>
      <c r="G35" s="49"/>
      <c r="H35" s="49"/>
      <c r="I35" s="49"/>
      <c r="J35" s="49"/>
      <c r="K35" s="49"/>
      <c r="L35" s="49"/>
      <c r="M35" s="49"/>
      <c r="N35" s="49"/>
      <c r="O35" s="52">
        <f t="shared" si="0"/>
        <v>45</v>
      </c>
    </row>
    <row r="36" spans="1:15">
      <c r="A36" s="49" t="s">
        <v>2</v>
      </c>
      <c r="B36" s="49" t="s">
        <v>197</v>
      </c>
      <c r="C36" s="49"/>
      <c r="D36" s="49">
        <v>1</v>
      </c>
      <c r="E36" s="49"/>
      <c r="F36" s="49"/>
      <c r="G36" s="49"/>
      <c r="H36" s="49"/>
      <c r="I36" s="49"/>
      <c r="J36" s="49"/>
      <c r="K36" s="49"/>
      <c r="L36" s="49"/>
      <c r="M36" s="49"/>
      <c r="N36" s="49"/>
      <c r="O36" s="52">
        <f t="shared" si="0"/>
        <v>1</v>
      </c>
    </row>
    <row r="37" spans="1:15">
      <c r="A37" s="49" t="s">
        <v>2</v>
      </c>
      <c r="B37" s="49" t="s">
        <v>198</v>
      </c>
      <c r="C37" s="49"/>
      <c r="D37" s="49">
        <v>2</v>
      </c>
      <c r="E37" s="49"/>
      <c r="F37" s="49"/>
      <c r="G37" s="49"/>
      <c r="H37" s="49"/>
      <c r="I37" s="49"/>
      <c r="J37" s="49"/>
      <c r="K37" s="49"/>
      <c r="L37" s="49"/>
      <c r="M37" s="49"/>
      <c r="N37" s="49"/>
      <c r="O37" s="52">
        <f t="shared" si="0"/>
        <v>2</v>
      </c>
    </row>
    <row r="38" spans="1:15">
      <c r="A38" s="49" t="s">
        <v>2</v>
      </c>
      <c r="B38" s="49" t="s">
        <v>199</v>
      </c>
      <c r="C38" s="49"/>
      <c r="D38" s="49">
        <v>1</v>
      </c>
      <c r="E38" s="49"/>
      <c r="F38" s="49"/>
      <c r="G38" s="49"/>
      <c r="H38" s="49"/>
      <c r="I38" s="49"/>
      <c r="J38" s="49"/>
      <c r="K38" s="49"/>
      <c r="L38" s="49"/>
      <c r="M38" s="49"/>
      <c r="N38" s="49"/>
      <c r="O38" s="52">
        <f t="shared" si="0"/>
        <v>1</v>
      </c>
    </row>
    <row r="39" spans="1:15">
      <c r="A39" s="49" t="s">
        <v>2</v>
      </c>
      <c r="B39" s="49" t="s">
        <v>200</v>
      </c>
      <c r="C39" s="49">
        <v>1</v>
      </c>
      <c r="D39" s="49">
        <v>2</v>
      </c>
      <c r="E39" s="49"/>
      <c r="F39" s="49"/>
      <c r="G39" s="49"/>
      <c r="H39" s="49"/>
      <c r="I39" s="49"/>
      <c r="J39" s="49"/>
      <c r="K39" s="49"/>
      <c r="L39" s="49"/>
      <c r="M39" s="49"/>
      <c r="N39" s="49"/>
      <c r="O39" s="52">
        <f t="shared" si="0"/>
        <v>3</v>
      </c>
    </row>
    <row r="40" spans="1:15">
      <c r="A40" s="49" t="s">
        <v>2</v>
      </c>
      <c r="B40" s="49" t="s">
        <v>201</v>
      </c>
      <c r="C40" s="49">
        <v>37</v>
      </c>
      <c r="D40" s="49">
        <v>33</v>
      </c>
      <c r="E40" s="49"/>
      <c r="F40" s="49"/>
      <c r="G40" s="49"/>
      <c r="H40" s="49"/>
      <c r="I40" s="49"/>
      <c r="J40" s="49"/>
      <c r="K40" s="49"/>
      <c r="L40" s="49"/>
      <c r="M40" s="49"/>
      <c r="N40" s="49"/>
      <c r="O40" s="52">
        <f t="shared" si="0"/>
        <v>70</v>
      </c>
    </row>
    <row r="41" spans="1:15">
      <c r="A41" s="49" t="s">
        <v>2</v>
      </c>
      <c r="B41" s="49" t="s">
        <v>202</v>
      </c>
      <c r="C41" s="49">
        <v>4</v>
      </c>
      <c r="D41" s="49">
        <v>1</v>
      </c>
      <c r="E41" s="49"/>
      <c r="F41" s="49"/>
      <c r="G41" s="49"/>
      <c r="H41" s="49"/>
      <c r="I41" s="49"/>
      <c r="J41" s="49"/>
      <c r="K41" s="49"/>
      <c r="L41" s="49"/>
      <c r="M41" s="49"/>
      <c r="N41" s="49"/>
      <c r="O41" s="52">
        <f t="shared" si="0"/>
        <v>5</v>
      </c>
    </row>
    <row r="42" spans="1:15">
      <c r="A42" s="49" t="s">
        <v>2</v>
      </c>
      <c r="B42" s="49" t="s">
        <v>203</v>
      </c>
      <c r="C42" s="49"/>
      <c r="D42" s="49">
        <v>1</v>
      </c>
      <c r="E42" s="49"/>
      <c r="F42" s="49"/>
      <c r="G42" s="49"/>
      <c r="H42" s="49"/>
      <c r="I42" s="49"/>
      <c r="J42" s="49"/>
      <c r="K42" s="49"/>
      <c r="L42" s="49"/>
      <c r="M42" s="49"/>
      <c r="N42" s="49"/>
      <c r="O42" s="52">
        <f t="shared" si="0"/>
        <v>1</v>
      </c>
    </row>
    <row r="43" spans="1:15">
      <c r="A43" s="49" t="s">
        <v>2</v>
      </c>
      <c r="B43" s="49" t="s">
        <v>204</v>
      </c>
      <c r="C43" s="49">
        <v>19</v>
      </c>
      <c r="D43" s="49">
        <v>11</v>
      </c>
      <c r="E43" s="49"/>
      <c r="F43" s="49"/>
      <c r="G43" s="49"/>
      <c r="H43" s="49"/>
      <c r="I43" s="49"/>
      <c r="J43" s="49"/>
      <c r="K43" s="49"/>
      <c r="L43" s="49"/>
      <c r="M43" s="49"/>
      <c r="N43" s="49"/>
      <c r="O43" s="52">
        <f t="shared" si="0"/>
        <v>30</v>
      </c>
    </row>
    <row r="44" spans="1:15">
      <c r="A44" s="49" t="s">
        <v>2</v>
      </c>
      <c r="B44" s="49" t="s">
        <v>205</v>
      </c>
      <c r="C44" s="49">
        <v>2</v>
      </c>
      <c r="D44" s="49">
        <v>1</v>
      </c>
      <c r="E44" s="49"/>
      <c r="F44" s="49"/>
      <c r="G44" s="49"/>
      <c r="H44" s="49"/>
      <c r="I44" s="49"/>
      <c r="J44" s="49"/>
      <c r="K44" s="49"/>
      <c r="L44" s="49"/>
      <c r="M44" s="49"/>
      <c r="N44" s="49"/>
      <c r="O44" s="52">
        <f t="shared" si="0"/>
        <v>3</v>
      </c>
    </row>
    <row r="45" spans="1:15">
      <c r="A45" s="49" t="s">
        <v>2</v>
      </c>
      <c r="B45" s="49" t="s">
        <v>206</v>
      </c>
      <c r="C45" s="49">
        <v>1</v>
      </c>
      <c r="D45" s="49">
        <v>2</v>
      </c>
      <c r="E45" s="49"/>
      <c r="F45" s="49"/>
      <c r="G45" s="49"/>
      <c r="H45" s="49"/>
      <c r="I45" s="49"/>
      <c r="J45" s="49"/>
      <c r="K45" s="49"/>
      <c r="L45" s="49"/>
      <c r="M45" s="49"/>
      <c r="N45" s="49"/>
      <c r="O45" s="52">
        <f t="shared" si="0"/>
        <v>3</v>
      </c>
    </row>
    <row r="46" spans="1:15">
      <c r="A46" s="49" t="s">
        <v>2</v>
      </c>
      <c r="B46" s="49" t="s">
        <v>207</v>
      </c>
      <c r="C46" s="49">
        <v>63</v>
      </c>
      <c r="D46" s="49">
        <v>68</v>
      </c>
      <c r="E46" s="49"/>
      <c r="F46" s="49"/>
      <c r="G46" s="49"/>
      <c r="H46" s="49"/>
      <c r="I46" s="49"/>
      <c r="J46" s="49"/>
      <c r="K46" s="49"/>
      <c r="L46" s="49"/>
      <c r="M46" s="49"/>
      <c r="N46" s="49"/>
      <c r="O46" s="52">
        <f t="shared" si="0"/>
        <v>131</v>
      </c>
    </row>
    <row r="47" spans="1:15">
      <c r="A47" s="49" t="s">
        <v>2</v>
      </c>
      <c r="B47" s="49" t="s">
        <v>208</v>
      </c>
      <c r="C47" s="49">
        <v>23</v>
      </c>
      <c r="D47" s="49">
        <v>18</v>
      </c>
      <c r="E47" s="49"/>
      <c r="F47" s="49"/>
      <c r="G47" s="49"/>
      <c r="H47" s="49"/>
      <c r="I47" s="49"/>
      <c r="J47" s="49"/>
      <c r="K47" s="49"/>
      <c r="L47" s="49"/>
      <c r="M47" s="49"/>
      <c r="N47" s="49"/>
      <c r="O47" s="52">
        <f t="shared" si="0"/>
        <v>41</v>
      </c>
    </row>
    <row r="48" spans="1:15">
      <c r="A48" s="49" t="s">
        <v>2</v>
      </c>
      <c r="B48" s="49" t="s">
        <v>209</v>
      </c>
      <c r="C48" s="49">
        <v>2</v>
      </c>
      <c r="D48" s="49"/>
      <c r="E48" s="49"/>
      <c r="F48" s="49"/>
      <c r="G48" s="49"/>
      <c r="H48" s="49"/>
      <c r="I48" s="49"/>
      <c r="J48" s="49"/>
      <c r="K48" s="49"/>
      <c r="L48" s="49"/>
      <c r="M48" s="49"/>
      <c r="N48" s="49"/>
      <c r="O48" s="52">
        <f t="shared" si="0"/>
        <v>2</v>
      </c>
    </row>
    <row r="49" spans="1:15">
      <c r="A49" s="49" t="s">
        <v>2</v>
      </c>
      <c r="B49" s="49" t="s">
        <v>210</v>
      </c>
      <c r="C49" s="49">
        <v>48</v>
      </c>
      <c r="D49" s="49">
        <v>59</v>
      </c>
      <c r="E49" s="49"/>
      <c r="F49" s="49"/>
      <c r="G49" s="49"/>
      <c r="H49" s="49"/>
      <c r="I49" s="49"/>
      <c r="J49" s="49"/>
      <c r="K49" s="49"/>
      <c r="L49" s="49"/>
      <c r="M49" s="49"/>
      <c r="N49" s="49"/>
      <c r="O49" s="52">
        <f t="shared" si="0"/>
        <v>107</v>
      </c>
    </row>
    <row r="50" spans="1:15">
      <c r="A50" s="49" t="s">
        <v>2</v>
      </c>
      <c r="B50" s="49" t="s">
        <v>211</v>
      </c>
      <c r="C50" s="49">
        <v>8</v>
      </c>
      <c r="D50" s="49">
        <v>10</v>
      </c>
      <c r="E50" s="49"/>
      <c r="F50" s="49"/>
      <c r="G50" s="49"/>
      <c r="H50" s="49"/>
      <c r="I50" s="49"/>
      <c r="J50" s="49"/>
      <c r="K50" s="49"/>
      <c r="L50" s="49"/>
      <c r="M50" s="49"/>
      <c r="N50" s="49"/>
      <c r="O50" s="52">
        <f t="shared" si="0"/>
        <v>18</v>
      </c>
    </row>
    <row r="51" spans="1:15">
      <c r="A51" s="49" t="s">
        <v>2</v>
      </c>
      <c r="B51" s="49" t="s">
        <v>212</v>
      </c>
      <c r="C51" s="49"/>
      <c r="D51" s="49">
        <v>1</v>
      </c>
      <c r="E51" s="49"/>
      <c r="F51" s="49"/>
      <c r="G51" s="49"/>
      <c r="H51" s="49"/>
      <c r="I51" s="49"/>
      <c r="J51" s="49"/>
      <c r="K51" s="49"/>
      <c r="L51" s="49"/>
      <c r="M51" s="49"/>
      <c r="N51" s="49"/>
      <c r="O51" s="52">
        <f t="shared" si="0"/>
        <v>1</v>
      </c>
    </row>
    <row r="52" spans="1:15">
      <c r="A52" s="49" t="s">
        <v>2</v>
      </c>
      <c r="B52" s="49" t="s">
        <v>213</v>
      </c>
      <c r="C52" s="49">
        <v>41</v>
      </c>
      <c r="D52" s="49">
        <v>24</v>
      </c>
      <c r="E52" s="49"/>
      <c r="F52" s="49"/>
      <c r="G52" s="49"/>
      <c r="H52" s="49"/>
      <c r="I52" s="49"/>
      <c r="J52" s="49"/>
      <c r="K52" s="49"/>
      <c r="L52" s="49"/>
      <c r="M52" s="49"/>
      <c r="N52" s="49"/>
      <c r="O52" s="52">
        <f t="shared" si="0"/>
        <v>65</v>
      </c>
    </row>
    <row r="53" spans="1:15">
      <c r="A53" s="49" t="s">
        <v>2</v>
      </c>
      <c r="B53" s="49" t="s">
        <v>214</v>
      </c>
      <c r="C53" s="49">
        <v>6</v>
      </c>
      <c r="D53" s="49">
        <v>19</v>
      </c>
      <c r="E53" s="49"/>
      <c r="F53" s="49"/>
      <c r="G53" s="49"/>
      <c r="H53" s="49"/>
      <c r="I53" s="49"/>
      <c r="J53" s="49"/>
      <c r="K53" s="49"/>
      <c r="L53" s="49"/>
      <c r="M53" s="49"/>
      <c r="N53" s="49"/>
      <c r="O53" s="52">
        <f t="shared" si="0"/>
        <v>25</v>
      </c>
    </row>
    <row r="54" spans="1:15">
      <c r="A54" s="49" t="s">
        <v>2</v>
      </c>
      <c r="B54" s="49" t="s">
        <v>215</v>
      </c>
      <c r="C54" s="49">
        <v>74</v>
      </c>
      <c r="D54" s="49">
        <v>77</v>
      </c>
      <c r="E54" s="49"/>
      <c r="F54" s="49"/>
      <c r="G54" s="49"/>
      <c r="H54" s="49"/>
      <c r="I54" s="49"/>
      <c r="J54" s="49"/>
      <c r="K54" s="49"/>
      <c r="L54" s="49"/>
      <c r="M54" s="49"/>
      <c r="N54" s="49"/>
      <c r="O54" s="52">
        <f t="shared" si="0"/>
        <v>151</v>
      </c>
    </row>
    <row r="55" spans="1:15">
      <c r="A55" s="49" t="s">
        <v>2</v>
      </c>
      <c r="B55" s="49" t="s">
        <v>216</v>
      </c>
      <c r="C55" s="49"/>
      <c r="D55" s="49">
        <v>3</v>
      </c>
      <c r="E55" s="49"/>
      <c r="F55" s="49"/>
      <c r="G55" s="49"/>
      <c r="H55" s="49"/>
      <c r="I55" s="49"/>
      <c r="J55" s="49"/>
      <c r="K55" s="49"/>
      <c r="L55" s="49"/>
      <c r="M55" s="49"/>
      <c r="N55" s="49"/>
      <c r="O55" s="52">
        <f t="shared" si="0"/>
        <v>3</v>
      </c>
    </row>
    <row r="56" spans="1:15">
      <c r="A56" s="49" t="s">
        <v>2</v>
      </c>
      <c r="B56" s="49" t="s">
        <v>217</v>
      </c>
      <c r="C56" s="49">
        <v>14</v>
      </c>
      <c r="D56" s="49">
        <v>14</v>
      </c>
      <c r="E56" s="49"/>
      <c r="F56" s="49"/>
      <c r="G56" s="49"/>
      <c r="H56" s="49"/>
      <c r="I56" s="49"/>
      <c r="J56" s="49"/>
      <c r="K56" s="49"/>
      <c r="L56" s="49"/>
      <c r="M56" s="49"/>
      <c r="N56" s="49"/>
      <c r="O56" s="52">
        <f t="shared" si="0"/>
        <v>28</v>
      </c>
    </row>
    <row r="57" spans="1:15">
      <c r="A57" s="49" t="s">
        <v>2</v>
      </c>
      <c r="B57" s="49" t="s">
        <v>218</v>
      </c>
      <c r="C57" s="49">
        <v>3</v>
      </c>
      <c r="D57" s="49"/>
      <c r="E57" s="49"/>
      <c r="F57" s="49"/>
      <c r="G57" s="49"/>
      <c r="H57" s="49"/>
      <c r="I57" s="49"/>
      <c r="J57" s="49"/>
      <c r="K57" s="49"/>
      <c r="L57" s="49"/>
      <c r="M57" s="49"/>
      <c r="N57" s="49"/>
      <c r="O57" s="52">
        <f t="shared" si="0"/>
        <v>3</v>
      </c>
    </row>
    <row r="58" spans="1:15">
      <c r="A58" s="49" t="s">
        <v>2</v>
      </c>
      <c r="B58" s="49" t="s">
        <v>219</v>
      </c>
      <c r="C58" s="49">
        <v>34</v>
      </c>
      <c r="D58" s="49">
        <v>25</v>
      </c>
      <c r="E58" s="49"/>
      <c r="F58" s="49"/>
      <c r="G58" s="49"/>
      <c r="H58" s="49"/>
      <c r="I58" s="49"/>
      <c r="J58" s="49"/>
      <c r="K58" s="49"/>
      <c r="L58" s="49"/>
      <c r="M58" s="49"/>
      <c r="N58" s="49"/>
      <c r="O58" s="52">
        <f t="shared" si="0"/>
        <v>59</v>
      </c>
    </row>
    <row r="59" spans="1:15">
      <c r="A59" s="49" t="s">
        <v>2</v>
      </c>
      <c r="B59" s="49" t="s">
        <v>220</v>
      </c>
      <c r="C59" s="49">
        <v>50</v>
      </c>
      <c r="D59" s="49">
        <v>53</v>
      </c>
      <c r="E59" s="49"/>
      <c r="F59" s="49"/>
      <c r="G59" s="49"/>
      <c r="H59" s="49"/>
      <c r="I59" s="49"/>
      <c r="J59" s="49"/>
      <c r="K59" s="49"/>
      <c r="L59" s="49"/>
      <c r="M59" s="49"/>
      <c r="N59" s="49"/>
      <c r="O59" s="52">
        <f t="shared" si="0"/>
        <v>103</v>
      </c>
    </row>
    <row r="60" spans="1:15">
      <c r="A60" s="49" t="s">
        <v>2</v>
      </c>
      <c r="B60" s="49" t="s">
        <v>221</v>
      </c>
      <c r="C60" s="49">
        <v>106</v>
      </c>
      <c r="D60" s="49">
        <v>105</v>
      </c>
      <c r="E60" s="49"/>
      <c r="F60" s="49"/>
      <c r="G60" s="49"/>
      <c r="H60" s="49"/>
      <c r="I60" s="49"/>
      <c r="J60" s="49"/>
      <c r="K60" s="49"/>
      <c r="L60" s="49"/>
      <c r="M60" s="49"/>
      <c r="N60" s="49"/>
      <c r="O60" s="52">
        <f t="shared" si="0"/>
        <v>211</v>
      </c>
    </row>
    <row r="61" spans="1:15">
      <c r="A61" s="49" t="s">
        <v>2</v>
      </c>
      <c r="B61" s="49" t="s">
        <v>222</v>
      </c>
      <c r="C61" s="49">
        <v>52</v>
      </c>
      <c r="D61" s="49">
        <v>51</v>
      </c>
      <c r="E61" s="49"/>
      <c r="F61" s="49"/>
      <c r="G61" s="49"/>
      <c r="H61" s="49"/>
      <c r="I61" s="49"/>
      <c r="J61" s="49"/>
      <c r="K61" s="49"/>
      <c r="L61" s="49"/>
      <c r="M61" s="49"/>
      <c r="N61" s="49"/>
      <c r="O61" s="52">
        <f t="shared" si="0"/>
        <v>103</v>
      </c>
    </row>
    <row r="62" spans="1:15">
      <c r="A62" s="49" t="s">
        <v>2</v>
      </c>
      <c r="B62" s="49" t="s">
        <v>223</v>
      </c>
      <c r="C62" s="49">
        <v>4</v>
      </c>
      <c r="D62" s="49">
        <v>1</v>
      </c>
      <c r="E62" s="49"/>
      <c r="F62" s="49"/>
      <c r="G62" s="49"/>
      <c r="H62" s="49"/>
      <c r="I62" s="49"/>
      <c r="J62" s="49"/>
      <c r="K62" s="49"/>
      <c r="L62" s="49"/>
      <c r="M62" s="49"/>
      <c r="N62" s="49"/>
      <c r="O62" s="52">
        <f t="shared" si="0"/>
        <v>5</v>
      </c>
    </row>
    <row r="63" spans="1:15">
      <c r="A63" s="49" t="s">
        <v>2</v>
      </c>
      <c r="B63" s="49" t="s">
        <v>224</v>
      </c>
      <c r="C63" s="49">
        <v>38</v>
      </c>
      <c r="D63" s="49">
        <v>44</v>
      </c>
      <c r="E63" s="49"/>
      <c r="F63" s="49"/>
      <c r="G63" s="49"/>
      <c r="H63" s="49"/>
      <c r="I63" s="49"/>
      <c r="J63" s="49"/>
      <c r="K63" s="49"/>
      <c r="L63" s="49"/>
      <c r="M63" s="49"/>
      <c r="N63" s="49"/>
      <c r="O63" s="52">
        <f t="shared" si="0"/>
        <v>82</v>
      </c>
    </row>
    <row r="64" spans="1:15">
      <c r="A64" s="49" t="s">
        <v>2</v>
      </c>
      <c r="B64" s="49" t="s">
        <v>225</v>
      </c>
      <c r="C64" s="49">
        <v>1</v>
      </c>
      <c r="D64" s="49">
        <v>2</v>
      </c>
      <c r="E64" s="49"/>
      <c r="F64" s="49"/>
      <c r="G64" s="49"/>
      <c r="H64" s="49"/>
      <c r="I64" s="49"/>
      <c r="J64" s="49"/>
      <c r="K64" s="49"/>
      <c r="L64" s="49"/>
      <c r="M64" s="49"/>
      <c r="N64" s="49"/>
      <c r="O64" s="52">
        <f t="shared" si="0"/>
        <v>3</v>
      </c>
    </row>
    <row r="65" spans="1:15">
      <c r="A65" s="49" t="s">
        <v>2</v>
      </c>
      <c r="B65" s="49" t="s">
        <v>226</v>
      </c>
      <c r="C65" s="49">
        <v>24</v>
      </c>
      <c r="D65" s="49">
        <v>22</v>
      </c>
      <c r="E65" s="49"/>
      <c r="F65" s="49"/>
      <c r="G65" s="49"/>
      <c r="H65" s="49"/>
      <c r="I65" s="49"/>
      <c r="J65" s="49"/>
      <c r="K65" s="49"/>
      <c r="L65" s="49"/>
      <c r="M65" s="49"/>
      <c r="N65" s="49"/>
      <c r="O65" s="52">
        <f t="shared" si="0"/>
        <v>46</v>
      </c>
    </row>
    <row r="66" spans="1:15">
      <c r="A66" s="49" t="s">
        <v>2</v>
      </c>
      <c r="B66" s="49" t="s">
        <v>227</v>
      </c>
      <c r="C66" s="49">
        <v>4</v>
      </c>
      <c r="D66" s="49">
        <v>6</v>
      </c>
      <c r="E66" s="49"/>
      <c r="F66" s="49"/>
      <c r="G66" s="49"/>
      <c r="H66" s="49"/>
      <c r="I66" s="49"/>
      <c r="J66" s="49"/>
      <c r="K66" s="49"/>
      <c r="L66" s="49"/>
      <c r="M66" s="49"/>
      <c r="N66" s="49"/>
      <c r="O66" s="52">
        <f t="shared" si="0"/>
        <v>10</v>
      </c>
    </row>
    <row r="67" spans="1:15">
      <c r="A67" s="49" t="s">
        <v>2</v>
      </c>
      <c r="B67" s="49" t="s">
        <v>228</v>
      </c>
      <c r="C67" s="49">
        <v>43</v>
      </c>
      <c r="D67" s="49">
        <v>35</v>
      </c>
      <c r="E67" s="49"/>
      <c r="F67" s="49"/>
      <c r="G67" s="49"/>
      <c r="H67" s="49"/>
      <c r="I67" s="49"/>
      <c r="J67" s="49"/>
      <c r="K67" s="49"/>
      <c r="L67" s="49"/>
      <c r="M67" s="49"/>
      <c r="N67" s="49"/>
      <c r="O67" s="52">
        <f t="shared" si="0"/>
        <v>78</v>
      </c>
    </row>
    <row r="68" spans="1:15">
      <c r="A68" s="49" t="s">
        <v>2</v>
      </c>
      <c r="B68" s="49" t="s">
        <v>229</v>
      </c>
      <c r="C68" s="49">
        <v>5</v>
      </c>
      <c r="D68" s="49">
        <v>11</v>
      </c>
      <c r="E68" s="49"/>
      <c r="F68" s="49"/>
      <c r="G68" s="49"/>
      <c r="H68" s="49"/>
      <c r="I68" s="49"/>
      <c r="J68" s="49"/>
      <c r="K68" s="49"/>
      <c r="L68" s="49"/>
      <c r="M68" s="49"/>
      <c r="N68" s="49"/>
      <c r="O68" s="52">
        <f t="shared" ref="O68:O75" si="1">IF(SUM(C68:N68)=0,"",SUM(C68:N68))</f>
        <v>16</v>
      </c>
    </row>
    <row r="69" spans="1:15">
      <c r="A69" s="49" t="s">
        <v>2</v>
      </c>
      <c r="B69" s="49" t="s">
        <v>230</v>
      </c>
      <c r="C69" s="49">
        <v>10</v>
      </c>
      <c r="D69" s="49">
        <v>7</v>
      </c>
      <c r="E69" s="49"/>
      <c r="F69" s="49"/>
      <c r="G69" s="49"/>
      <c r="H69" s="49"/>
      <c r="I69" s="49"/>
      <c r="J69" s="49"/>
      <c r="K69" s="49"/>
      <c r="L69" s="49"/>
      <c r="M69" s="49"/>
      <c r="N69" s="49"/>
      <c r="O69" s="52">
        <f t="shared" si="1"/>
        <v>17</v>
      </c>
    </row>
    <row r="70" spans="1:15">
      <c r="A70" s="49" t="s">
        <v>2</v>
      </c>
      <c r="B70" s="49" t="s">
        <v>231</v>
      </c>
      <c r="C70" s="49">
        <v>42</v>
      </c>
      <c r="D70" s="49">
        <v>43</v>
      </c>
      <c r="E70" s="49"/>
      <c r="F70" s="49"/>
      <c r="G70" s="49"/>
      <c r="H70" s="49"/>
      <c r="I70" s="49"/>
      <c r="J70" s="49"/>
      <c r="K70" s="49"/>
      <c r="L70" s="49"/>
      <c r="M70" s="49"/>
      <c r="N70" s="49"/>
      <c r="O70" s="52">
        <f t="shared" si="1"/>
        <v>85</v>
      </c>
    </row>
    <row r="71" spans="1:15">
      <c r="A71" s="49" t="s">
        <v>2</v>
      </c>
      <c r="B71" s="49" t="s">
        <v>232</v>
      </c>
      <c r="C71" s="49">
        <v>23</v>
      </c>
      <c r="D71" s="49">
        <v>20</v>
      </c>
      <c r="E71" s="49"/>
      <c r="F71" s="49"/>
      <c r="G71" s="49"/>
      <c r="H71" s="49"/>
      <c r="I71" s="49"/>
      <c r="J71" s="49"/>
      <c r="K71" s="49"/>
      <c r="L71" s="49"/>
      <c r="M71" s="49"/>
      <c r="N71" s="49"/>
      <c r="O71" s="52">
        <f t="shared" si="1"/>
        <v>43</v>
      </c>
    </row>
    <row r="72" spans="1:15">
      <c r="A72" s="49" t="s">
        <v>2</v>
      </c>
      <c r="B72" s="49" t="s">
        <v>233</v>
      </c>
      <c r="C72" s="49">
        <v>19</v>
      </c>
      <c r="D72" s="49">
        <v>17</v>
      </c>
      <c r="E72" s="49"/>
      <c r="F72" s="49"/>
      <c r="G72" s="49"/>
      <c r="H72" s="49"/>
      <c r="I72" s="49"/>
      <c r="J72" s="49"/>
      <c r="K72" s="49"/>
      <c r="L72" s="49"/>
      <c r="M72" s="49"/>
      <c r="N72" s="49"/>
      <c r="O72" s="52">
        <f t="shared" si="1"/>
        <v>36</v>
      </c>
    </row>
    <row r="73" spans="1:15">
      <c r="A73" s="49" t="s">
        <v>2</v>
      </c>
      <c r="B73" s="49" t="s">
        <v>234</v>
      </c>
      <c r="C73" s="49">
        <v>5</v>
      </c>
      <c r="D73" s="49">
        <v>5</v>
      </c>
      <c r="E73" s="49"/>
      <c r="F73" s="49"/>
      <c r="G73" s="49"/>
      <c r="H73" s="49"/>
      <c r="I73" s="49"/>
      <c r="J73" s="49"/>
      <c r="K73" s="49"/>
      <c r="L73" s="49"/>
      <c r="M73" s="49"/>
      <c r="N73" s="49"/>
      <c r="O73" s="52">
        <f t="shared" si="1"/>
        <v>10</v>
      </c>
    </row>
    <row r="74" spans="1:15">
      <c r="A74" s="49" t="s">
        <v>2</v>
      </c>
      <c r="B74" s="49" t="s">
        <v>235</v>
      </c>
      <c r="C74" s="49"/>
      <c r="D74" s="49">
        <v>1</v>
      </c>
      <c r="E74" s="49"/>
      <c r="F74" s="49"/>
      <c r="G74" s="49"/>
      <c r="H74" s="49"/>
      <c r="I74" s="49"/>
      <c r="J74" s="49"/>
      <c r="K74" s="49"/>
      <c r="L74" s="49"/>
      <c r="M74" s="49"/>
      <c r="N74" s="49"/>
      <c r="O74" s="52">
        <f t="shared" si="1"/>
        <v>1</v>
      </c>
    </row>
    <row r="75" spans="1:15">
      <c r="A75" s="49" t="s">
        <v>2</v>
      </c>
      <c r="B75" s="49" t="s">
        <v>236</v>
      </c>
      <c r="C75" s="49">
        <v>31</v>
      </c>
      <c r="D75" s="49">
        <v>28</v>
      </c>
      <c r="E75" s="49"/>
      <c r="F75" s="49"/>
      <c r="G75" s="49"/>
      <c r="H75" s="49"/>
      <c r="I75" s="49"/>
      <c r="J75" s="49"/>
      <c r="K75" s="49"/>
      <c r="L75" s="49"/>
      <c r="M75" s="49"/>
      <c r="N75" s="49"/>
      <c r="O75" s="52">
        <f t="shared" si="1"/>
        <v>59</v>
      </c>
    </row>
  </sheetData>
  <autoFilter ref="A2:O75" xr:uid="{71AC7A06-A2E4-4CC8-9045-1D086ED83B34}"/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55767F-9FD0-48C9-95BA-7FAE68492F91}">
  <dimension ref="A1:O9"/>
  <sheetViews>
    <sheetView workbookViewId="0">
      <selection activeCell="C2" sqref="C2:N2"/>
    </sheetView>
  </sheetViews>
  <sheetFormatPr defaultRowHeight="16"/>
  <cols>
    <col min="1" max="16384" width="8.7265625" style="43"/>
  </cols>
  <sheetData>
    <row r="1" spans="1:15">
      <c r="A1" s="42" t="s">
        <v>307</v>
      </c>
    </row>
    <row r="2" spans="1:15" ht="22" customHeight="1">
      <c r="A2" s="44" t="s">
        <v>5</v>
      </c>
      <c r="B2" s="44" t="s">
        <v>163</v>
      </c>
      <c r="C2" s="81" t="s">
        <v>42</v>
      </c>
      <c r="D2" s="81" t="s">
        <v>43</v>
      </c>
      <c r="E2" s="44" t="s">
        <v>47</v>
      </c>
      <c r="F2" s="44" t="s">
        <v>48</v>
      </c>
      <c r="G2" s="44" t="s">
        <v>144</v>
      </c>
      <c r="H2" s="44" t="s">
        <v>145</v>
      </c>
      <c r="I2" s="44" t="s">
        <v>146</v>
      </c>
      <c r="J2" s="44" t="s">
        <v>147</v>
      </c>
      <c r="K2" s="44" t="s">
        <v>148</v>
      </c>
      <c r="L2" s="44" t="s">
        <v>149</v>
      </c>
      <c r="M2" s="44" t="s">
        <v>150</v>
      </c>
      <c r="N2" s="44" t="s">
        <v>151</v>
      </c>
      <c r="O2" s="45" t="s">
        <v>0</v>
      </c>
    </row>
    <row r="3" spans="1:15">
      <c r="A3" s="46" t="s">
        <v>2</v>
      </c>
      <c r="B3" s="50" t="s">
        <v>237</v>
      </c>
      <c r="C3" s="46">
        <v>63</v>
      </c>
      <c r="D3" s="46">
        <v>48</v>
      </c>
      <c r="E3" s="48"/>
      <c r="F3" s="48"/>
      <c r="G3" s="48"/>
      <c r="H3" s="48"/>
      <c r="I3" s="48"/>
      <c r="J3" s="48"/>
      <c r="K3" s="48"/>
      <c r="L3" s="48"/>
      <c r="M3" s="48"/>
      <c r="N3" s="48"/>
      <c r="O3" s="51">
        <f>IF(SUM(C3:N3)=0,"",SUM(C3:N3))</f>
        <v>111</v>
      </c>
    </row>
    <row r="4" spans="1:15">
      <c r="A4" s="46" t="s">
        <v>2</v>
      </c>
      <c r="B4" s="50" t="s">
        <v>238</v>
      </c>
      <c r="C4" s="46"/>
      <c r="D4" s="46"/>
      <c r="E4" s="48"/>
      <c r="F4" s="48"/>
      <c r="G4" s="48"/>
      <c r="H4" s="48"/>
      <c r="I4" s="48"/>
      <c r="J4" s="48"/>
      <c r="K4" s="48"/>
      <c r="L4" s="48"/>
      <c r="M4" s="48"/>
      <c r="N4" s="48"/>
      <c r="O4" s="51" t="str">
        <f t="shared" ref="O4:O9" si="0">IF(SUM(C4:N4)=0,"",SUM(C4:N4))</f>
        <v/>
      </c>
    </row>
    <row r="5" spans="1:15">
      <c r="A5" s="46" t="s">
        <v>2</v>
      </c>
      <c r="B5" s="50" t="s">
        <v>239</v>
      </c>
      <c r="C5" s="46">
        <v>3</v>
      </c>
      <c r="D5" s="46">
        <v>3</v>
      </c>
      <c r="E5" s="48"/>
      <c r="F5" s="48"/>
      <c r="G5" s="48"/>
      <c r="H5" s="48"/>
      <c r="I5" s="48"/>
      <c r="J5" s="48"/>
      <c r="K5" s="48"/>
      <c r="L5" s="48"/>
      <c r="M5" s="48"/>
      <c r="N5" s="48"/>
      <c r="O5" s="51">
        <f t="shared" si="0"/>
        <v>6</v>
      </c>
    </row>
    <row r="6" spans="1:15">
      <c r="A6" s="46" t="s">
        <v>2</v>
      </c>
      <c r="B6" s="50" t="s">
        <v>240</v>
      </c>
      <c r="C6" s="46"/>
      <c r="D6" s="46"/>
      <c r="E6" s="48"/>
      <c r="F6" s="48"/>
      <c r="G6" s="48"/>
      <c r="H6" s="48"/>
      <c r="I6" s="48"/>
      <c r="J6" s="48"/>
      <c r="K6" s="48"/>
      <c r="L6" s="48"/>
      <c r="M6" s="48"/>
      <c r="N6" s="48"/>
      <c r="O6" s="51" t="str">
        <f t="shared" si="0"/>
        <v/>
      </c>
    </row>
    <row r="7" spans="1:15">
      <c r="A7" s="46" t="s">
        <v>2</v>
      </c>
      <c r="B7" s="50" t="s">
        <v>241</v>
      </c>
      <c r="C7" s="46"/>
      <c r="D7" s="46"/>
      <c r="E7" s="48"/>
      <c r="F7" s="48"/>
      <c r="G7" s="48"/>
      <c r="H7" s="48"/>
      <c r="I7" s="48"/>
      <c r="J7" s="48"/>
      <c r="K7" s="48"/>
      <c r="L7" s="48"/>
      <c r="M7" s="48"/>
      <c r="N7" s="48"/>
      <c r="O7" s="51" t="str">
        <f t="shared" si="0"/>
        <v/>
      </c>
    </row>
    <row r="8" spans="1:15">
      <c r="A8" s="46" t="s">
        <v>2</v>
      </c>
      <c r="B8" s="50" t="s">
        <v>242</v>
      </c>
      <c r="C8" s="46"/>
      <c r="D8" s="46"/>
      <c r="E8" s="48"/>
      <c r="F8" s="48"/>
      <c r="G8" s="48"/>
      <c r="H8" s="48"/>
      <c r="I8" s="48"/>
      <c r="J8" s="48"/>
      <c r="K8" s="48"/>
      <c r="L8" s="48"/>
      <c r="M8" s="48"/>
      <c r="N8" s="48"/>
      <c r="O8" s="51" t="str">
        <f t="shared" si="0"/>
        <v/>
      </c>
    </row>
    <row r="9" spans="1:15">
      <c r="A9" s="46" t="s">
        <v>2</v>
      </c>
      <c r="B9" s="50" t="s">
        <v>243</v>
      </c>
      <c r="C9" s="46"/>
      <c r="D9" s="46"/>
      <c r="E9" s="48"/>
      <c r="F9" s="48"/>
      <c r="G9" s="48"/>
      <c r="H9" s="48"/>
      <c r="I9" s="48"/>
      <c r="J9" s="48"/>
      <c r="K9" s="48"/>
      <c r="L9" s="48"/>
      <c r="M9" s="48"/>
      <c r="N9" s="48"/>
      <c r="O9" s="51" t="str">
        <f t="shared" si="0"/>
        <v/>
      </c>
    </row>
  </sheetData>
  <conditionalFormatting sqref="B3:B9">
    <cfRule type="duplicateValues" dxfId="4" priority="5"/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25CF0A-A464-4B26-B6F8-178B29BE8BAF}">
  <dimension ref="A1:O16"/>
  <sheetViews>
    <sheetView zoomScale="85" zoomScaleNormal="85" workbookViewId="0">
      <selection activeCell="C2" sqref="C2:N2"/>
    </sheetView>
  </sheetViews>
  <sheetFormatPr defaultRowHeight="16"/>
  <cols>
    <col min="1" max="16384" width="8.7265625" style="43"/>
  </cols>
  <sheetData>
    <row r="1" spans="1:15">
      <c r="A1" s="42" t="s">
        <v>308</v>
      </c>
    </row>
    <row r="2" spans="1:15" ht="22" customHeight="1">
      <c r="A2" s="44" t="s">
        <v>5</v>
      </c>
      <c r="B2" s="44" t="s">
        <v>163</v>
      </c>
      <c r="C2" s="81" t="s">
        <v>42</v>
      </c>
      <c r="D2" s="81" t="s">
        <v>43</v>
      </c>
      <c r="E2" s="44" t="s">
        <v>47</v>
      </c>
      <c r="F2" s="44" t="s">
        <v>48</v>
      </c>
      <c r="G2" s="44" t="s">
        <v>144</v>
      </c>
      <c r="H2" s="44" t="s">
        <v>145</v>
      </c>
      <c r="I2" s="44" t="s">
        <v>146</v>
      </c>
      <c r="J2" s="44" t="s">
        <v>147</v>
      </c>
      <c r="K2" s="44" t="s">
        <v>148</v>
      </c>
      <c r="L2" s="44" t="s">
        <v>149</v>
      </c>
      <c r="M2" s="44" t="s">
        <v>150</v>
      </c>
      <c r="N2" s="44" t="s">
        <v>151</v>
      </c>
      <c r="O2" s="45" t="s">
        <v>0</v>
      </c>
    </row>
    <row r="3" spans="1:15">
      <c r="A3" s="46" t="s">
        <v>2</v>
      </c>
      <c r="B3" s="47" t="s">
        <v>244</v>
      </c>
      <c r="C3" s="46">
        <v>13</v>
      </c>
      <c r="D3" s="46">
        <v>12</v>
      </c>
      <c r="E3" s="48"/>
      <c r="F3" s="48"/>
      <c r="G3" s="48"/>
      <c r="H3" s="48"/>
      <c r="I3" s="48"/>
      <c r="J3" s="48"/>
      <c r="K3" s="48"/>
      <c r="L3" s="48"/>
      <c r="M3" s="48"/>
      <c r="N3" s="48"/>
      <c r="O3" s="51">
        <f>IF(SUM(C3:N3)=0,"",SUM(C3:N3))</f>
        <v>25</v>
      </c>
    </row>
    <row r="4" spans="1:15">
      <c r="A4" s="46" t="s">
        <v>2</v>
      </c>
      <c r="B4" s="47" t="s">
        <v>245</v>
      </c>
      <c r="C4" s="46">
        <v>54</v>
      </c>
      <c r="D4" s="46">
        <v>63</v>
      </c>
      <c r="E4" s="48"/>
      <c r="F4" s="48"/>
      <c r="G4" s="48"/>
      <c r="H4" s="48"/>
      <c r="I4" s="48"/>
      <c r="J4" s="48"/>
      <c r="K4" s="48"/>
      <c r="L4" s="48"/>
      <c r="M4" s="48"/>
      <c r="N4" s="48"/>
      <c r="O4" s="51">
        <f t="shared" ref="O4:O16" si="0">IF(SUM(C4:N4)=0,"",SUM(C4:N4))</f>
        <v>117</v>
      </c>
    </row>
    <row r="5" spans="1:15">
      <c r="A5" s="46" t="s">
        <v>2</v>
      </c>
      <c r="B5" s="47" t="s">
        <v>246</v>
      </c>
      <c r="C5" s="46">
        <v>73</v>
      </c>
      <c r="D5" s="46">
        <v>90</v>
      </c>
      <c r="E5" s="48"/>
      <c r="F5" s="48"/>
      <c r="G5" s="48"/>
      <c r="H5" s="48"/>
      <c r="I5" s="48"/>
      <c r="J5" s="48"/>
      <c r="K5" s="48"/>
      <c r="L5" s="48"/>
      <c r="M5" s="48"/>
      <c r="N5" s="48"/>
      <c r="O5" s="51">
        <f t="shared" si="0"/>
        <v>163</v>
      </c>
    </row>
    <row r="6" spans="1:15">
      <c r="A6" s="46" t="s">
        <v>2</v>
      </c>
      <c r="B6" s="47" t="s">
        <v>247</v>
      </c>
      <c r="C6" s="49">
        <v>289</v>
      </c>
      <c r="D6" s="49">
        <v>295</v>
      </c>
      <c r="E6" s="48"/>
      <c r="F6" s="48"/>
      <c r="G6" s="48"/>
      <c r="H6" s="48"/>
      <c r="I6" s="48"/>
      <c r="J6" s="48"/>
      <c r="K6" s="48"/>
      <c r="L6" s="48"/>
      <c r="M6" s="48"/>
      <c r="N6" s="48"/>
      <c r="O6" s="51">
        <f t="shared" si="0"/>
        <v>584</v>
      </c>
    </row>
    <row r="7" spans="1:15">
      <c r="A7" s="46" t="s">
        <v>2</v>
      </c>
      <c r="B7" s="47" t="s">
        <v>248</v>
      </c>
      <c r="C7" s="46">
        <v>8</v>
      </c>
      <c r="D7" s="46">
        <v>6</v>
      </c>
      <c r="E7" s="48"/>
      <c r="F7" s="48"/>
      <c r="G7" s="48"/>
      <c r="H7" s="48"/>
      <c r="I7" s="48"/>
      <c r="J7" s="48"/>
      <c r="K7" s="48"/>
      <c r="L7" s="48"/>
      <c r="M7" s="48"/>
      <c r="N7" s="48"/>
      <c r="O7" s="51">
        <f t="shared" si="0"/>
        <v>14</v>
      </c>
    </row>
    <row r="8" spans="1:15">
      <c r="A8" s="46" t="s">
        <v>2</v>
      </c>
      <c r="B8" s="47" t="s">
        <v>249</v>
      </c>
      <c r="C8" s="46">
        <v>18</v>
      </c>
      <c r="D8" s="46">
        <v>22</v>
      </c>
      <c r="E8" s="48"/>
      <c r="F8" s="48"/>
      <c r="G8" s="48"/>
      <c r="H8" s="48"/>
      <c r="I8" s="48"/>
      <c r="J8" s="48"/>
      <c r="K8" s="48"/>
      <c r="L8" s="48"/>
      <c r="M8" s="48"/>
      <c r="N8" s="48"/>
      <c r="O8" s="51">
        <f t="shared" si="0"/>
        <v>40</v>
      </c>
    </row>
    <row r="9" spans="1:15">
      <c r="A9" s="46" t="s">
        <v>2</v>
      </c>
      <c r="B9" s="47" t="s">
        <v>250</v>
      </c>
      <c r="C9" s="46">
        <v>54</v>
      </c>
      <c r="D9" s="46">
        <v>64</v>
      </c>
      <c r="E9" s="48"/>
      <c r="F9" s="48"/>
      <c r="G9" s="48"/>
      <c r="H9" s="48"/>
      <c r="I9" s="48"/>
      <c r="J9" s="48"/>
      <c r="K9" s="48"/>
      <c r="L9" s="48"/>
      <c r="M9" s="48"/>
      <c r="N9" s="48"/>
      <c r="O9" s="51">
        <f t="shared" si="0"/>
        <v>118</v>
      </c>
    </row>
    <row r="10" spans="1:15">
      <c r="A10" s="46" t="s">
        <v>2</v>
      </c>
      <c r="B10" s="46" t="s">
        <v>251</v>
      </c>
      <c r="C10" s="46">
        <v>1166</v>
      </c>
      <c r="D10" s="46">
        <v>1202</v>
      </c>
      <c r="E10" s="48"/>
      <c r="F10" s="48"/>
      <c r="G10" s="48"/>
      <c r="H10" s="48"/>
      <c r="I10" s="48"/>
      <c r="J10" s="48"/>
      <c r="K10" s="48"/>
      <c r="L10" s="48"/>
      <c r="M10" s="48"/>
      <c r="N10" s="48"/>
      <c r="O10" s="51">
        <f t="shared" si="0"/>
        <v>2368</v>
      </c>
    </row>
    <row r="11" spans="1:15">
      <c r="A11" s="46" t="s">
        <v>2</v>
      </c>
      <c r="B11" s="46" t="s">
        <v>252</v>
      </c>
      <c r="C11" s="46">
        <v>129</v>
      </c>
      <c r="D11" s="46">
        <v>138</v>
      </c>
      <c r="E11" s="48"/>
      <c r="F11" s="48"/>
      <c r="G11" s="48"/>
      <c r="H11" s="48"/>
      <c r="I11" s="48"/>
      <c r="J11" s="48"/>
      <c r="K11" s="48"/>
      <c r="L11" s="48"/>
      <c r="M11" s="48"/>
      <c r="N11" s="48"/>
      <c r="O11" s="51">
        <f t="shared" si="0"/>
        <v>267</v>
      </c>
    </row>
    <row r="12" spans="1:15">
      <c r="A12" s="46" t="s">
        <v>2</v>
      </c>
      <c r="B12" s="46" t="s">
        <v>253</v>
      </c>
      <c r="C12" s="46">
        <v>7</v>
      </c>
      <c r="D12" s="46">
        <v>5</v>
      </c>
      <c r="E12" s="48"/>
      <c r="F12" s="48"/>
      <c r="G12" s="48"/>
      <c r="H12" s="48"/>
      <c r="I12" s="48"/>
      <c r="J12" s="48"/>
      <c r="K12" s="48"/>
      <c r="L12" s="48"/>
      <c r="M12" s="48"/>
      <c r="N12" s="48"/>
      <c r="O12" s="51">
        <f t="shared" si="0"/>
        <v>12</v>
      </c>
    </row>
    <row r="13" spans="1:15">
      <c r="A13" s="46" t="s">
        <v>2</v>
      </c>
      <c r="B13" s="47" t="s">
        <v>254</v>
      </c>
      <c r="C13" s="46"/>
      <c r="D13" s="46"/>
      <c r="E13" s="48"/>
      <c r="F13" s="48"/>
      <c r="G13" s="48"/>
      <c r="H13" s="48"/>
      <c r="I13" s="48"/>
      <c r="J13" s="48"/>
      <c r="K13" s="48"/>
      <c r="L13" s="48"/>
      <c r="M13" s="48"/>
      <c r="N13" s="48"/>
      <c r="O13" s="51" t="str">
        <f t="shared" si="0"/>
        <v/>
      </c>
    </row>
    <row r="14" spans="1:15">
      <c r="A14" s="46" t="s">
        <v>2</v>
      </c>
      <c r="B14" s="47" t="s">
        <v>255</v>
      </c>
      <c r="C14" s="46">
        <v>37</v>
      </c>
      <c r="D14" s="46">
        <v>41</v>
      </c>
      <c r="E14" s="48"/>
      <c r="F14" s="48"/>
      <c r="G14" s="48"/>
      <c r="H14" s="48"/>
      <c r="I14" s="48"/>
      <c r="J14" s="48"/>
      <c r="K14" s="48"/>
      <c r="L14" s="48"/>
      <c r="M14" s="48"/>
      <c r="N14" s="48"/>
      <c r="O14" s="51">
        <f t="shared" si="0"/>
        <v>78</v>
      </c>
    </row>
    <row r="15" spans="1:15">
      <c r="A15" s="46" t="s">
        <v>2</v>
      </c>
      <c r="B15" s="47" t="s">
        <v>256</v>
      </c>
      <c r="C15" s="46"/>
      <c r="D15" s="46"/>
      <c r="E15" s="48"/>
      <c r="F15" s="48"/>
      <c r="G15" s="48"/>
      <c r="H15" s="48"/>
      <c r="I15" s="48"/>
      <c r="J15" s="48"/>
      <c r="K15" s="48"/>
      <c r="L15" s="48"/>
      <c r="M15" s="48"/>
      <c r="N15" s="48"/>
      <c r="O15" s="51" t="str">
        <f t="shared" si="0"/>
        <v/>
      </c>
    </row>
    <row r="16" spans="1:15">
      <c r="A16" s="46" t="s">
        <v>2</v>
      </c>
      <c r="B16" s="47" t="s">
        <v>257</v>
      </c>
      <c r="C16" s="46">
        <v>1</v>
      </c>
      <c r="D16" s="46">
        <v>3</v>
      </c>
      <c r="E16" s="48"/>
      <c r="F16" s="48"/>
      <c r="G16" s="48"/>
      <c r="H16" s="48"/>
      <c r="I16" s="48"/>
      <c r="J16" s="48"/>
      <c r="K16" s="48"/>
      <c r="L16" s="48"/>
      <c r="M16" s="48"/>
      <c r="N16" s="48"/>
      <c r="O16" s="51">
        <f t="shared" si="0"/>
        <v>4</v>
      </c>
    </row>
  </sheetData>
  <conditionalFormatting sqref="B3:B4">
    <cfRule type="duplicateValues" dxfId="3" priority="3"/>
  </conditionalFormatting>
  <conditionalFormatting sqref="B9">
    <cfRule type="duplicateValues" dxfId="2" priority="2"/>
  </conditionalFormatting>
  <conditionalFormatting sqref="B13:B16">
    <cfRule type="duplicateValues" dxfId="1" priority="1"/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CC9D14-69F0-4B23-94C0-2C21A38E047A}">
  <dimension ref="A1:R18"/>
  <sheetViews>
    <sheetView zoomScale="85" zoomScaleNormal="85" workbookViewId="0">
      <pane xSplit="2" ySplit="2" topLeftCell="C3" activePane="bottomRight" state="frozen"/>
      <selection pane="topRight" activeCell="C1" sqref="C1"/>
      <selection pane="bottomLeft" activeCell="A5" sqref="A5"/>
      <selection pane="bottomRight" activeCell="M9" sqref="M9"/>
    </sheetView>
  </sheetViews>
  <sheetFormatPr defaultRowHeight="16"/>
  <cols>
    <col min="1" max="3" width="8.7265625" style="54"/>
    <col min="4" max="4" width="8.26953125" style="54" customWidth="1"/>
    <col min="5" max="5" width="40.54296875" style="54" bestFit="1" customWidth="1"/>
    <col min="6" max="17" width="8.1796875" style="54" customWidth="1"/>
    <col min="18" max="16384" width="8.7265625" style="54"/>
  </cols>
  <sheetData>
    <row r="1" spans="1:18">
      <c r="A1" s="53" t="s">
        <v>309</v>
      </c>
    </row>
    <row r="2" spans="1:18" s="2" customFormat="1" ht="18.75" customHeight="1">
      <c r="A2" s="6" t="s">
        <v>5</v>
      </c>
      <c r="B2" s="8" t="s">
        <v>266</v>
      </c>
      <c r="C2" s="8" t="s">
        <v>265</v>
      </c>
      <c r="D2" s="8" t="s">
        <v>273</v>
      </c>
      <c r="E2" s="8" t="s">
        <v>264</v>
      </c>
      <c r="F2" s="81" t="s">
        <v>42</v>
      </c>
      <c r="G2" s="81" t="s">
        <v>43</v>
      </c>
      <c r="H2" s="44" t="s">
        <v>47</v>
      </c>
      <c r="I2" s="44" t="s">
        <v>48</v>
      </c>
      <c r="J2" s="44" t="s">
        <v>144</v>
      </c>
      <c r="K2" s="44" t="s">
        <v>145</v>
      </c>
      <c r="L2" s="44" t="s">
        <v>146</v>
      </c>
      <c r="M2" s="44" t="s">
        <v>147</v>
      </c>
      <c r="N2" s="44" t="s">
        <v>148</v>
      </c>
      <c r="O2" s="44" t="s">
        <v>149</v>
      </c>
      <c r="P2" s="44" t="s">
        <v>150</v>
      </c>
      <c r="Q2" s="44" t="s">
        <v>151</v>
      </c>
      <c r="R2" s="45" t="s">
        <v>0</v>
      </c>
    </row>
    <row r="3" spans="1:18" ht="26.25" customHeight="1">
      <c r="A3" s="49" t="s">
        <v>2</v>
      </c>
      <c r="B3" s="47" t="s">
        <v>258</v>
      </c>
      <c r="C3" s="47" t="s">
        <v>38</v>
      </c>
      <c r="D3" s="47" t="s">
        <v>274</v>
      </c>
      <c r="E3" s="69" t="s">
        <v>267</v>
      </c>
      <c r="F3" s="70">
        <v>6</v>
      </c>
      <c r="G3" s="70">
        <v>10</v>
      </c>
      <c r="H3" s="71"/>
      <c r="I3" s="71"/>
      <c r="J3" s="71"/>
      <c r="K3" s="71"/>
      <c r="L3" s="71"/>
      <c r="M3" s="71"/>
      <c r="N3" s="71"/>
      <c r="O3" s="71"/>
      <c r="P3" s="71"/>
      <c r="Q3" s="71"/>
      <c r="R3" s="73">
        <f>IF(SUM(F3:Q3)=0,"",SUM(F3:Q3))</f>
        <v>16</v>
      </c>
    </row>
    <row r="4" spans="1:18" ht="26.25" customHeight="1">
      <c r="A4" s="49" t="s">
        <v>2</v>
      </c>
      <c r="B4" s="47" t="s">
        <v>259</v>
      </c>
      <c r="C4" s="47" t="s">
        <v>38</v>
      </c>
      <c r="D4" s="47" t="s">
        <v>275</v>
      </c>
      <c r="E4" s="69" t="s">
        <v>268</v>
      </c>
      <c r="F4" s="70">
        <v>3</v>
      </c>
      <c r="G4" s="70">
        <v>2</v>
      </c>
      <c r="H4" s="71"/>
      <c r="I4" s="71"/>
      <c r="J4" s="71"/>
      <c r="K4" s="71"/>
      <c r="L4" s="71"/>
      <c r="M4" s="71"/>
      <c r="N4" s="71"/>
      <c r="O4" s="71"/>
      <c r="P4" s="71"/>
      <c r="Q4" s="71"/>
      <c r="R4" s="73">
        <f t="shared" ref="R4:R16" si="0">IF(SUM(F4:Q4)=0,"",SUM(F4:Q4))</f>
        <v>5</v>
      </c>
    </row>
    <row r="5" spans="1:18" ht="26.25" customHeight="1">
      <c r="A5" s="49" t="s">
        <v>2</v>
      </c>
      <c r="B5" s="47" t="s">
        <v>263</v>
      </c>
      <c r="C5" s="47" t="s">
        <v>38</v>
      </c>
      <c r="D5" s="47" t="s">
        <v>274</v>
      </c>
      <c r="E5" s="69" t="s">
        <v>269</v>
      </c>
      <c r="F5" s="70">
        <v>1</v>
      </c>
      <c r="G5" s="70"/>
      <c r="H5" s="71"/>
      <c r="I5" s="71"/>
      <c r="J5" s="71"/>
      <c r="K5" s="71"/>
      <c r="L5" s="71"/>
      <c r="M5" s="71"/>
      <c r="N5" s="71"/>
      <c r="O5" s="71"/>
      <c r="P5" s="71"/>
      <c r="Q5" s="71"/>
      <c r="R5" s="73">
        <f t="shared" si="0"/>
        <v>1</v>
      </c>
    </row>
    <row r="6" spans="1:18" ht="26.25" customHeight="1">
      <c r="A6" s="49" t="s">
        <v>2</v>
      </c>
      <c r="B6" s="47" t="s">
        <v>262</v>
      </c>
      <c r="C6" s="47" t="s">
        <v>39</v>
      </c>
      <c r="D6" s="47" t="s">
        <v>276</v>
      </c>
      <c r="E6" s="69" t="s">
        <v>270</v>
      </c>
      <c r="F6" s="70">
        <f>59+4</f>
        <v>63</v>
      </c>
      <c r="G6" s="70">
        <f>59+4</f>
        <v>63</v>
      </c>
      <c r="H6" s="71"/>
      <c r="I6" s="71"/>
      <c r="J6" s="71"/>
      <c r="K6" s="71"/>
      <c r="L6" s="71"/>
      <c r="M6" s="71"/>
      <c r="N6" s="71"/>
      <c r="O6" s="71"/>
      <c r="P6" s="71"/>
      <c r="Q6" s="71"/>
      <c r="R6" s="73">
        <f t="shared" si="0"/>
        <v>126</v>
      </c>
    </row>
    <row r="7" spans="1:18" ht="26.25" customHeight="1">
      <c r="A7" s="49" t="s">
        <v>2</v>
      </c>
      <c r="B7" s="47" t="s">
        <v>261</v>
      </c>
      <c r="C7" s="47" t="s">
        <v>21</v>
      </c>
      <c r="D7" s="47" t="s">
        <v>275</v>
      </c>
      <c r="E7" s="69" t="s">
        <v>271</v>
      </c>
      <c r="F7" s="70">
        <v>6</v>
      </c>
      <c r="G7" s="70">
        <v>3</v>
      </c>
      <c r="H7" s="71"/>
      <c r="I7" s="71"/>
      <c r="J7" s="71"/>
      <c r="K7" s="71"/>
      <c r="L7" s="71"/>
      <c r="M7" s="71"/>
      <c r="N7" s="71"/>
      <c r="O7" s="71"/>
      <c r="P7" s="71"/>
      <c r="Q7" s="71"/>
      <c r="R7" s="73">
        <f t="shared" si="0"/>
        <v>9</v>
      </c>
    </row>
    <row r="8" spans="1:18" ht="26.25" customHeight="1">
      <c r="A8" s="49" t="s">
        <v>2</v>
      </c>
      <c r="B8" s="47" t="s">
        <v>261</v>
      </c>
      <c r="C8" s="47" t="s">
        <v>21</v>
      </c>
      <c r="D8" s="47" t="s">
        <v>275</v>
      </c>
      <c r="E8" s="69" t="s">
        <v>271</v>
      </c>
      <c r="F8" s="70"/>
      <c r="G8" s="70"/>
      <c r="H8" s="71"/>
      <c r="I8" s="71"/>
      <c r="J8" s="71"/>
      <c r="K8" s="71"/>
      <c r="L8" s="71"/>
      <c r="M8" s="71"/>
      <c r="N8" s="71"/>
      <c r="O8" s="71"/>
      <c r="P8" s="71"/>
      <c r="Q8" s="71"/>
      <c r="R8" s="73" t="str">
        <f t="shared" si="0"/>
        <v/>
      </c>
    </row>
    <row r="9" spans="1:18" ht="26.25" customHeight="1">
      <c r="A9" s="49" t="s">
        <v>2</v>
      </c>
      <c r="B9" s="47" t="s">
        <v>261</v>
      </c>
      <c r="C9" s="47" t="s">
        <v>21</v>
      </c>
      <c r="D9" s="47" t="s">
        <v>275</v>
      </c>
      <c r="E9" s="69" t="s">
        <v>271</v>
      </c>
      <c r="F9" s="70">
        <v>19</v>
      </c>
      <c r="G9" s="70">
        <v>20</v>
      </c>
      <c r="H9" s="71"/>
      <c r="I9" s="71"/>
      <c r="J9" s="71"/>
      <c r="K9" s="71"/>
      <c r="L9" s="71"/>
      <c r="M9" s="71"/>
      <c r="N9" s="71"/>
      <c r="O9" s="71"/>
      <c r="P9" s="71"/>
      <c r="Q9" s="71"/>
      <c r="R9" s="73">
        <f t="shared" si="0"/>
        <v>39</v>
      </c>
    </row>
    <row r="10" spans="1:18" ht="26.25" customHeight="1">
      <c r="A10" s="49" t="s">
        <v>2</v>
      </c>
      <c r="B10" s="47" t="s">
        <v>261</v>
      </c>
      <c r="C10" s="47" t="s">
        <v>37</v>
      </c>
      <c r="D10" s="47" t="s">
        <v>275</v>
      </c>
      <c r="E10" s="69" t="s">
        <v>271</v>
      </c>
      <c r="F10" s="70">
        <v>47</v>
      </c>
      <c r="G10" s="70">
        <v>53</v>
      </c>
      <c r="H10" s="71"/>
      <c r="I10" s="71"/>
      <c r="J10" s="71"/>
      <c r="K10" s="71"/>
      <c r="L10" s="71"/>
      <c r="M10" s="71"/>
      <c r="N10" s="71"/>
      <c r="O10" s="71"/>
      <c r="P10" s="71"/>
      <c r="Q10" s="71"/>
      <c r="R10" s="73">
        <f t="shared" si="0"/>
        <v>100</v>
      </c>
    </row>
    <row r="11" spans="1:18" ht="26.25" customHeight="1">
      <c r="A11" s="49" t="s">
        <v>2</v>
      </c>
      <c r="B11" s="47" t="s">
        <v>261</v>
      </c>
      <c r="C11" s="47" t="s">
        <v>20</v>
      </c>
      <c r="D11" s="47" t="s">
        <v>275</v>
      </c>
      <c r="E11" s="69" t="s">
        <v>271</v>
      </c>
      <c r="F11" s="70"/>
      <c r="G11" s="70"/>
      <c r="H11" s="71"/>
      <c r="I11" s="71"/>
      <c r="J11" s="71"/>
      <c r="K11" s="71"/>
      <c r="L11" s="71"/>
      <c r="M11" s="71"/>
      <c r="N11" s="71"/>
      <c r="O11" s="71"/>
      <c r="P11" s="71"/>
      <c r="Q11" s="71"/>
      <c r="R11" s="73" t="str">
        <f t="shared" si="0"/>
        <v/>
      </c>
    </row>
    <row r="12" spans="1:18" ht="26.25" customHeight="1">
      <c r="A12" s="49" t="s">
        <v>2</v>
      </c>
      <c r="B12" s="47" t="s">
        <v>260</v>
      </c>
      <c r="C12" s="47" t="s">
        <v>20</v>
      </c>
      <c r="D12" s="47" t="s">
        <v>274</v>
      </c>
      <c r="E12" s="69" t="s">
        <v>272</v>
      </c>
      <c r="F12" s="70">
        <v>1</v>
      </c>
      <c r="G12" s="70"/>
      <c r="H12" s="71"/>
      <c r="I12" s="71"/>
      <c r="J12" s="71"/>
      <c r="K12" s="71"/>
      <c r="L12" s="71"/>
      <c r="M12" s="71"/>
      <c r="N12" s="71"/>
      <c r="O12" s="71"/>
      <c r="P12" s="71"/>
      <c r="Q12" s="71"/>
      <c r="R12" s="73">
        <f t="shared" si="0"/>
        <v>1</v>
      </c>
    </row>
    <row r="13" spans="1:18" ht="26.25" customHeight="1">
      <c r="A13" s="49" t="s">
        <v>2</v>
      </c>
      <c r="B13" s="47" t="s">
        <v>260</v>
      </c>
      <c r="C13" s="47" t="s">
        <v>20</v>
      </c>
      <c r="D13" s="47" t="s">
        <v>274</v>
      </c>
      <c r="E13" s="69" t="s">
        <v>272</v>
      </c>
      <c r="F13" s="70">
        <v>1</v>
      </c>
      <c r="G13" s="70">
        <v>4</v>
      </c>
      <c r="H13" s="71"/>
      <c r="I13" s="71"/>
      <c r="J13" s="71"/>
      <c r="K13" s="71"/>
      <c r="L13" s="71"/>
      <c r="M13" s="71"/>
      <c r="N13" s="71"/>
      <c r="O13" s="71"/>
      <c r="P13" s="71"/>
      <c r="Q13" s="71"/>
      <c r="R13" s="73">
        <f t="shared" si="0"/>
        <v>5</v>
      </c>
    </row>
    <row r="14" spans="1:18" ht="26.25" customHeight="1">
      <c r="A14" s="49" t="s">
        <v>2</v>
      </c>
      <c r="B14" s="47" t="s">
        <v>260</v>
      </c>
      <c r="C14" s="47" t="s">
        <v>37</v>
      </c>
      <c r="D14" s="47" t="s">
        <v>274</v>
      </c>
      <c r="E14" s="69" t="s">
        <v>272</v>
      </c>
      <c r="F14" s="70">
        <v>3</v>
      </c>
      <c r="G14" s="70"/>
      <c r="H14" s="71"/>
      <c r="I14" s="71"/>
      <c r="J14" s="71"/>
      <c r="K14" s="71"/>
      <c r="L14" s="71"/>
      <c r="M14" s="71"/>
      <c r="N14" s="71"/>
      <c r="O14" s="71"/>
      <c r="P14" s="71"/>
      <c r="Q14" s="71"/>
      <c r="R14" s="73">
        <f t="shared" si="0"/>
        <v>3</v>
      </c>
    </row>
    <row r="15" spans="1:18" ht="26.25" customHeight="1">
      <c r="A15" s="49" t="s">
        <v>2</v>
      </c>
      <c r="B15" s="47" t="s">
        <v>260</v>
      </c>
      <c r="C15" s="47" t="s">
        <v>37</v>
      </c>
      <c r="D15" s="47" t="s">
        <v>274</v>
      </c>
      <c r="E15" s="69" t="s">
        <v>272</v>
      </c>
      <c r="F15" s="70">
        <v>1</v>
      </c>
      <c r="G15" s="70"/>
      <c r="H15" s="71"/>
      <c r="I15" s="71"/>
      <c r="J15" s="71"/>
      <c r="K15" s="71"/>
      <c r="L15" s="71"/>
      <c r="M15" s="71"/>
      <c r="N15" s="71"/>
      <c r="O15" s="71"/>
      <c r="P15" s="71"/>
      <c r="Q15" s="71"/>
      <c r="R15" s="73">
        <f t="shared" si="0"/>
        <v>1</v>
      </c>
    </row>
    <row r="16" spans="1:18" ht="26.25" customHeight="1">
      <c r="A16" s="49" t="s">
        <v>2</v>
      </c>
      <c r="B16" s="47" t="s">
        <v>260</v>
      </c>
      <c r="C16" s="47" t="s">
        <v>39</v>
      </c>
      <c r="D16" s="47" t="s">
        <v>274</v>
      </c>
      <c r="E16" s="69" t="s">
        <v>272</v>
      </c>
      <c r="F16" s="70">
        <v>2</v>
      </c>
      <c r="G16" s="70">
        <v>9</v>
      </c>
      <c r="H16" s="71"/>
      <c r="I16" s="71"/>
      <c r="J16" s="71"/>
      <c r="K16" s="71"/>
      <c r="L16" s="71"/>
      <c r="M16" s="71"/>
      <c r="N16" s="71"/>
      <c r="O16" s="71"/>
      <c r="P16" s="71"/>
      <c r="Q16" s="71"/>
      <c r="R16" s="73">
        <f t="shared" si="0"/>
        <v>11</v>
      </c>
    </row>
    <row r="17" spans="6:18">
      <c r="F17" s="72"/>
      <c r="G17" s="72"/>
      <c r="H17" s="72"/>
      <c r="I17" s="72"/>
      <c r="J17" s="72"/>
      <c r="K17" s="72"/>
      <c r="L17" s="72"/>
      <c r="M17" s="72"/>
      <c r="N17" s="72"/>
      <c r="O17" s="72"/>
      <c r="P17" s="72"/>
      <c r="Q17" s="72"/>
      <c r="R17" s="72"/>
    </row>
    <row r="18" spans="6:18">
      <c r="F18" s="72"/>
      <c r="G18" s="72"/>
      <c r="H18" s="72"/>
      <c r="I18" s="72"/>
      <c r="J18" s="72"/>
      <c r="K18" s="72"/>
      <c r="L18" s="72"/>
      <c r="M18" s="72"/>
      <c r="N18" s="72"/>
      <c r="O18" s="72"/>
      <c r="P18" s="72"/>
      <c r="Q18" s="72"/>
      <c r="R18" s="72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11BBA-69FC-4664-9019-7BC48CC71163}">
  <dimension ref="A1:B131"/>
  <sheetViews>
    <sheetView topLeftCell="A8" workbookViewId="0">
      <selection activeCell="E24" sqref="E24"/>
    </sheetView>
  </sheetViews>
  <sheetFormatPr defaultRowHeight="14.5"/>
  <cols>
    <col min="2" max="2" width="35" bestFit="1" customWidth="1"/>
  </cols>
  <sheetData>
    <row r="1" spans="1:2" s="83" customFormat="1">
      <c r="A1" s="83" t="s">
        <v>311</v>
      </c>
    </row>
    <row r="9" spans="1:2">
      <c r="A9" s="86" t="s">
        <v>312</v>
      </c>
      <c r="B9" s="87"/>
    </row>
    <row r="10" spans="1:2">
      <c r="A10" s="88" t="s">
        <v>20</v>
      </c>
      <c r="B10" s="88" t="s">
        <v>313</v>
      </c>
    </row>
    <row r="11" spans="1:2">
      <c r="A11" s="88" t="s">
        <v>21</v>
      </c>
      <c r="B11" s="88" t="s">
        <v>314</v>
      </c>
    </row>
    <row r="12" spans="1:2">
      <c r="A12" s="88" t="s">
        <v>22</v>
      </c>
      <c r="B12" s="88" t="s">
        <v>315</v>
      </c>
    </row>
    <row r="13" spans="1:2">
      <c r="A13" s="89" t="s">
        <v>23</v>
      </c>
      <c r="B13" s="89"/>
    </row>
    <row r="14" spans="1:2">
      <c r="A14" s="89" t="s">
        <v>24</v>
      </c>
      <c r="B14" s="89"/>
    </row>
    <row r="15" spans="1:2">
      <c r="A15" s="89" t="s">
        <v>25</v>
      </c>
      <c r="B15" s="89"/>
    </row>
    <row r="16" spans="1:2">
      <c r="A16" s="88" t="s">
        <v>26</v>
      </c>
      <c r="B16" s="88" t="s">
        <v>316</v>
      </c>
    </row>
    <row r="17" spans="1:2">
      <c r="A17" s="88" t="s">
        <v>27</v>
      </c>
      <c r="B17" s="88" t="s">
        <v>317</v>
      </c>
    </row>
    <row r="18" spans="1:2">
      <c r="A18" s="88" t="s">
        <v>28</v>
      </c>
      <c r="B18" s="88" t="s">
        <v>318</v>
      </c>
    </row>
    <row r="19" spans="1:2">
      <c r="A19" s="88" t="s">
        <v>29</v>
      </c>
      <c r="B19" s="88" t="s">
        <v>319</v>
      </c>
    </row>
    <row r="20" spans="1:2">
      <c r="A20" s="88" t="s">
        <v>30</v>
      </c>
      <c r="B20" s="88" t="s">
        <v>320</v>
      </c>
    </row>
    <row r="21" spans="1:2">
      <c r="A21" s="90" t="s">
        <v>31</v>
      </c>
      <c r="B21" s="90" t="s">
        <v>321</v>
      </c>
    </row>
    <row r="22" spans="1:2">
      <c r="A22" s="90" t="s">
        <v>32</v>
      </c>
      <c r="B22" s="90" t="s">
        <v>322</v>
      </c>
    </row>
    <row r="23" spans="1:2">
      <c r="A23" s="91" t="s">
        <v>33</v>
      </c>
      <c r="B23" s="91" t="s">
        <v>323</v>
      </c>
    </row>
    <row r="24" spans="1:2">
      <c r="A24" s="90" t="s">
        <v>34</v>
      </c>
      <c r="B24" s="90" t="s">
        <v>324</v>
      </c>
    </row>
    <row r="25" spans="1:2">
      <c r="A25" s="90" t="s">
        <v>35</v>
      </c>
      <c r="B25" s="90" t="s">
        <v>325</v>
      </c>
    </row>
    <row r="28" spans="1:2">
      <c r="A28" s="92" t="s">
        <v>326</v>
      </c>
      <c r="B28" s="93"/>
    </row>
    <row r="29" spans="1:2">
      <c r="A29" s="94" t="s">
        <v>327</v>
      </c>
      <c r="B29" s="94" t="s">
        <v>328</v>
      </c>
    </row>
    <row r="30" spans="1:2">
      <c r="A30" s="94" t="s">
        <v>329</v>
      </c>
      <c r="B30" s="94" t="s">
        <v>330</v>
      </c>
    </row>
    <row r="31" spans="1:2">
      <c r="A31" s="94" t="s">
        <v>331</v>
      </c>
      <c r="B31" s="94" t="s">
        <v>332</v>
      </c>
    </row>
    <row r="32" spans="1:2">
      <c r="A32" s="94" t="s">
        <v>333</v>
      </c>
      <c r="B32" s="94" t="s">
        <v>334</v>
      </c>
    </row>
    <row r="33" spans="1:2">
      <c r="A33" s="94" t="s">
        <v>335</v>
      </c>
      <c r="B33" s="94" t="s">
        <v>336</v>
      </c>
    </row>
    <row r="34" spans="1:2">
      <c r="A34" s="94" t="s">
        <v>337</v>
      </c>
      <c r="B34" s="94" t="s">
        <v>338</v>
      </c>
    </row>
    <row r="35" spans="1:2">
      <c r="A35" s="94" t="s">
        <v>339</v>
      </c>
      <c r="B35" s="94" t="s">
        <v>340</v>
      </c>
    </row>
    <row r="36" spans="1:2">
      <c r="A36" s="94" t="s">
        <v>341</v>
      </c>
      <c r="B36" s="94" t="s">
        <v>342</v>
      </c>
    </row>
    <row r="37" spans="1:2">
      <c r="A37" s="94" t="s">
        <v>343</v>
      </c>
      <c r="B37" s="94" t="s">
        <v>344</v>
      </c>
    </row>
    <row r="38" spans="1:2">
      <c r="A38" s="94" t="s">
        <v>345</v>
      </c>
      <c r="B38" s="94" t="s">
        <v>346</v>
      </c>
    </row>
    <row r="39" spans="1:2">
      <c r="A39" s="94" t="s">
        <v>347</v>
      </c>
      <c r="B39" s="94" t="s">
        <v>348</v>
      </c>
    </row>
    <row r="40" spans="1:2">
      <c r="A40" s="94" t="s">
        <v>349</v>
      </c>
      <c r="B40" s="94" t="s">
        <v>350</v>
      </c>
    </row>
    <row r="41" spans="1:2">
      <c r="A41" s="94" t="s">
        <v>351</v>
      </c>
      <c r="B41" s="94" t="s">
        <v>352</v>
      </c>
    </row>
    <row r="42" spans="1:2">
      <c r="A42" s="94" t="s">
        <v>353</v>
      </c>
      <c r="B42" s="94" t="s">
        <v>354</v>
      </c>
    </row>
    <row r="43" spans="1:2">
      <c r="A43" s="94" t="s">
        <v>355</v>
      </c>
      <c r="B43" s="94" t="s">
        <v>356</v>
      </c>
    </row>
    <row r="44" spans="1:2">
      <c r="A44" s="94" t="s">
        <v>357</v>
      </c>
      <c r="B44" s="94" t="s">
        <v>358</v>
      </c>
    </row>
    <row r="45" spans="1:2">
      <c r="A45" s="94" t="s">
        <v>359</v>
      </c>
      <c r="B45" s="94" t="s">
        <v>360</v>
      </c>
    </row>
    <row r="46" spans="1:2">
      <c r="A46" s="94" t="s">
        <v>361</v>
      </c>
      <c r="B46" s="94" t="s">
        <v>362</v>
      </c>
    </row>
    <row r="47" spans="1:2">
      <c r="A47" s="94" t="s">
        <v>363</v>
      </c>
      <c r="B47" s="94" t="s">
        <v>364</v>
      </c>
    </row>
    <row r="48" spans="1:2">
      <c r="A48" s="94" t="s">
        <v>365</v>
      </c>
      <c r="B48" s="94" t="s">
        <v>366</v>
      </c>
    </row>
    <row r="49" spans="1:2">
      <c r="A49" s="94" t="s">
        <v>367</v>
      </c>
      <c r="B49" s="94" t="s">
        <v>368</v>
      </c>
    </row>
    <row r="50" spans="1:2">
      <c r="A50" s="94" t="s">
        <v>369</v>
      </c>
      <c r="B50" s="94" t="s">
        <v>370</v>
      </c>
    </row>
    <row r="51" spans="1:2">
      <c r="A51" s="94" t="s">
        <v>371</v>
      </c>
      <c r="B51" s="94" t="s">
        <v>372</v>
      </c>
    </row>
    <row r="52" spans="1:2">
      <c r="A52" s="94" t="s">
        <v>373</v>
      </c>
      <c r="B52" s="94" t="s">
        <v>374</v>
      </c>
    </row>
    <row r="53" spans="1:2">
      <c r="A53" s="94" t="s">
        <v>375</v>
      </c>
      <c r="B53" s="94" t="s">
        <v>376</v>
      </c>
    </row>
    <row r="54" spans="1:2">
      <c r="A54" s="94" t="s">
        <v>377</v>
      </c>
      <c r="B54" s="94" t="s">
        <v>378</v>
      </c>
    </row>
    <row r="55" spans="1:2">
      <c r="A55" s="94" t="s">
        <v>379</v>
      </c>
      <c r="B55" s="94" t="s">
        <v>380</v>
      </c>
    </row>
    <row r="56" spans="1:2">
      <c r="A56" s="94" t="s">
        <v>381</v>
      </c>
      <c r="B56" s="94" t="s">
        <v>382</v>
      </c>
    </row>
    <row r="57" spans="1:2">
      <c r="A57" s="94" t="s">
        <v>383</v>
      </c>
      <c r="B57" s="94" t="s">
        <v>384</v>
      </c>
    </row>
    <row r="58" spans="1:2">
      <c r="A58" s="94" t="s">
        <v>385</v>
      </c>
      <c r="B58" s="94" t="s">
        <v>386</v>
      </c>
    </row>
    <row r="59" spans="1:2">
      <c r="A59" s="94" t="s">
        <v>387</v>
      </c>
      <c r="B59" s="94" t="s">
        <v>388</v>
      </c>
    </row>
    <row r="60" spans="1:2">
      <c r="A60" s="94" t="s">
        <v>389</v>
      </c>
      <c r="B60" s="94" t="s">
        <v>390</v>
      </c>
    </row>
    <row r="61" spans="1:2">
      <c r="A61" s="94" t="s">
        <v>391</v>
      </c>
      <c r="B61" s="94" t="s">
        <v>392</v>
      </c>
    </row>
    <row r="62" spans="1:2">
      <c r="A62" s="94" t="s">
        <v>393</v>
      </c>
      <c r="B62" s="94" t="s">
        <v>394</v>
      </c>
    </row>
    <row r="63" spans="1:2">
      <c r="A63" s="94" t="s">
        <v>395</v>
      </c>
      <c r="B63" s="94" t="s">
        <v>396</v>
      </c>
    </row>
    <row r="64" spans="1:2">
      <c r="A64" s="94" t="s">
        <v>397</v>
      </c>
      <c r="B64" s="94" t="s">
        <v>398</v>
      </c>
    </row>
    <row r="65" spans="1:2">
      <c r="A65" s="94" t="s">
        <v>399</v>
      </c>
      <c r="B65" s="94" t="s">
        <v>400</v>
      </c>
    </row>
    <row r="66" spans="1:2">
      <c r="A66" s="94" t="s">
        <v>401</v>
      </c>
      <c r="B66" s="94" t="s">
        <v>402</v>
      </c>
    </row>
    <row r="67" spans="1:2">
      <c r="A67" s="94" t="s">
        <v>403</v>
      </c>
      <c r="B67" s="94" t="s">
        <v>404</v>
      </c>
    </row>
    <row r="68" spans="1:2">
      <c r="A68" s="94" t="s">
        <v>405</v>
      </c>
      <c r="B68" s="94" t="s">
        <v>406</v>
      </c>
    </row>
    <row r="69" spans="1:2">
      <c r="A69" s="94" t="s">
        <v>407</v>
      </c>
      <c r="B69" s="94" t="s">
        <v>408</v>
      </c>
    </row>
    <row r="70" spans="1:2">
      <c r="A70" s="94" t="s">
        <v>409</v>
      </c>
      <c r="B70" s="94" t="s">
        <v>410</v>
      </c>
    </row>
    <row r="71" spans="1:2">
      <c r="A71" s="94" t="s">
        <v>411</v>
      </c>
      <c r="B71" s="94" t="s">
        <v>412</v>
      </c>
    </row>
    <row r="72" spans="1:2">
      <c r="A72" s="94" t="s">
        <v>413</v>
      </c>
      <c r="B72" s="94" t="s">
        <v>414</v>
      </c>
    </row>
    <row r="73" spans="1:2">
      <c r="A73" s="94" t="s">
        <v>415</v>
      </c>
      <c r="B73" s="94" t="s">
        <v>416</v>
      </c>
    </row>
    <row r="74" spans="1:2">
      <c r="A74" s="94" t="s">
        <v>417</v>
      </c>
      <c r="B74" s="94" t="s">
        <v>418</v>
      </c>
    </row>
    <row r="75" spans="1:2">
      <c r="A75" s="94" t="s">
        <v>419</v>
      </c>
      <c r="B75" s="94" t="s">
        <v>420</v>
      </c>
    </row>
    <row r="76" spans="1:2">
      <c r="A76" s="94" t="s">
        <v>421</v>
      </c>
      <c r="B76" s="94" t="s">
        <v>422</v>
      </c>
    </row>
    <row r="77" spans="1:2">
      <c r="A77" s="95" t="s">
        <v>423</v>
      </c>
      <c r="B77" s="95" t="s">
        <v>424</v>
      </c>
    </row>
    <row r="78" spans="1:2">
      <c r="A78" s="94" t="s">
        <v>425</v>
      </c>
      <c r="B78" s="94" t="s">
        <v>426</v>
      </c>
    </row>
    <row r="79" spans="1:2">
      <c r="A79" s="94" t="s">
        <v>427</v>
      </c>
      <c r="B79" s="94" t="s">
        <v>428</v>
      </c>
    </row>
    <row r="80" spans="1:2">
      <c r="A80" s="94" t="s">
        <v>429</v>
      </c>
      <c r="B80" s="94" t="s">
        <v>430</v>
      </c>
    </row>
    <row r="81" spans="1:2">
      <c r="A81" s="95" t="s">
        <v>431</v>
      </c>
      <c r="B81" s="95" t="s">
        <v>432</v>
      </c>
    </row>
    <row r="82" spans="1:2">
      <c r="A82" s="96" t="s">
        <v>433</v>
      </c>
      <c r="B82" s="94" t="s">
        <v>434</v>
      </c>
    </row>
    <row r="83" spans="1:2">
      <c r="A83" s="96" t="s">
        <v>435</v>
      </c>
      <c r="B83" s="94" t="s">
        <v>436</v>
      </c>
    </row>
    <row r="84" spans="1:2">
      <c r="A84" s="96" t="s">
        <v>437</v>
      </c>
      <c r="B84" s="94" t="s">
        <v>438</v>
      </c>
    </row>
    <row r="85" spans="1:2">
      <c r="A85" s="96" t="s">
        <v>439</v>
      </c>
      <c r="B85" s="94" t="s">
        <v>440</v>
      </c>
    </row>
    <row r="86" spans="1:2">
      <c r="A86" s="96" t="s">
        <v>441</v>
      </c>
      <c r="B86" s="94" t="s">
        <v>442</v>
      </c>
    </row>
    <row r="87" spans="1:2">
      <c r="A87" s="96" t="s">
        <v>443</v>
      </c>
      <c r="B87" s="94" t="s">
        <v>444</v>
      </c>
    </row>
    <row r="88" spans="1:2">
      <c r="A88" s="96" t="s">
        <v>445</v>
      </c>
      <c r="B88" s="94" t="s">
        <v>446</v>
      </c>
    </row>
    <row r="89" spans="1:2">
      <c r="A89" s="96" t="s">
        <v>447</v>
      </c>
      <c r="B89" s="94" t="s">
        <v>448</v>
      </c>
    </row>
    <row r="90" spans="1:2">
      <c r="A90" s="96" t="s">
        <v>449</v>
      </c>
      <c r="B90" s="94" t="s">
        <v>450</v>
      </c>
    </row>
    <row r="91" spans="1:2">
      <c r="A91" s="96" t="s">
        <v>451</v>
      </c>
      <c r="B91" s="95" t="s">
        <v>452</v>
      </c>
    </row>
    <row r="92" spans="1:2">
      <c r="A92" s="95" t="s">
        <v>453</v>
      </c>
      <c r="B92" s="95" t="s">
        <v>454</v>
      </c>
    </row>
    <row r="93" spans="1:2">
      <c r="A93" s="95" t="s">
        <v>455</v>
      </c>
      <c r="B93" s="95" t="s">
        <v>456</v>
      </c>
    </row>
    <row r="94" spans="1:2">
      <c r="A94" s="95" t="s">
        <v>457</v>
      </c>
      <c r="B94" s="95" t="s">
        <v>458</v>
      </c>
    </row>
    <row r="95" spans="1:2">
      <c r="A95" s="95" t="s">
        <v>459</v>
      </c>
      <c r="B95" s="95" t="s">
        <v>460</v>
      </c>
    </row>
    <row r="96" spans="1:2">
      <c r="A96" s="95" t="s">
        <v>461</v>
      </c>
      <c r="B96" s="95" t="s">
        <v>462</v>
      </c>
    </row>
    <row r="97" spans="1:2">
      <c r="A97" s="95" t="s">
        <v>463</v>
      </c>
      <c r="B97" s="95" t="s">
        <v>464</v>
      </c>
    </row>
    <row r="98" spans="1:2">
      <c r="A98" s="95" t="s">
        <v>465</v>
      </c>
      <c r="B98" s="95" t="s">
        <v>466</v>
      </c>
    </row>
    <row r="99" spans="1:2">
      <c r="A99" s="95" t="s">
        <v>467</v>
      </c>
      <c r="B99" s="95" t="s">
        <v>468</v>
      </c>
    </row>
    <row r="100" spans="1:2">
      <c r="A100" s="95" t="s">
        <v>469</v>
      </c>
      <c r="B100" s="95" t="s">
        <v>470</v>
      </c>
    </row>
    <row r="101" spans="1:2">
      <c r="A101" s="95" t="s">
        <v>471</v>
      </c>
      <c r="B101" s="95" t="s">
        <v>472</v>
      </c>
    </row>
    <row r="102" spans="1:2">
      <c r="A102" s="95" t="s">
        <v>473</v>
      </c>
      <c r="B102" s="95" t="s">
        <v>474</v>
      </c>
    </row>
    <row r="103" spans="1:2">
      <c r="A103" s="95" t="s">
        <v>475</v>
      </c>
      <c r="B103" s="95" t="s">
        <v>476</v>
      </c>
    </row>
    <row r="104" spans="1:2">
      <c r="A104" s="95" t="s">
        <v>477</v>
      </c>
      <c r="B104" s="95" t="s">
        <v>478</v>
      </c>
    </row>
    <row r="105" spans="1:2">
      <c r="A105" s="95" t="s">
        <v>479</v>
      </c>
      <c r="B105" s="95" t="s">
        <v>480</v>
      </c>
    </row>
    <row r="106" spans="1:2">
      <c r="A106" s="95" t="s">
        <v>481</v>
      </c>
      <c r="B106" s="95" t="s">
        <v>482</v>
      </c>
    </row>
    <row r="107" spans="1:2">
      <c r="A107" s="95" t="s">
        <v>483</v>
      </c>
      <c r="B107" s="95" t="s">
        <v>484</v>
      </c>
    </row>
    <row r="108" spans="1:2">
      <c r="A108" s="95" t="s">
        <v>485</v>
      </c>
      <c r="B108" s="95" t="s">
        <v>486</v>
      </c>
    </row>
    <row r="109" spans="1:2">
      <c r="A109" s="95" t="s">
        <v>487</v>
      </c>
      <c r="B109" s="95" t="s">
        <v>488</v>
      </c>
    </row>
    <row r="110" spans="1:2">
      <c r="A110" s="95" t="s">
        <v>489</v>
      </c>
      <c r="B110" s="95" t="s">
        <v>490</v>
      </c>
    </row>
    <row r="111" spans="1:2">
      <c r="A111" s="95" t="s">
        <v>491</v>
      </c>
      <c r="B111" s="95" t="s">
        <v>492</v>
      </c>
    </row>
    <row r="112" spans="1:2">
      <c r="A112" s="95" t="s">
        <v>493</v>
      </c>
      <c r="B112" s="95" t="s">
        <v>494</v>
      </c>
    </row>
    <row r="113" spans="1:2">
      <c r="A113" s="95" t="s">
        <v>495</v>
      </c>
      <c r="B113" s="95" t="s">
        <v>496</v>
      </c>
    </row>
    <row r="114" spans="1:2">
      <c r="A114" s="95" t="s">
        <v>497</v>
      </c>
      <c r="B114" s="95" t="s">
        <v>498</v>
      </c>
    </row>
    <row r="115" spans="1:2">
      <c r="A115" s="95" t="s">
        <v>499</v>
      </c>
      <c r="B115" s="95" t="s">
        <v>500</v>
      </c>
    </row>
    <row r="116" spans="1:2">
      <c r="A116" s="95" t="s">
        <v>501</v>
      </c>
      <c r="B116" s="95" t="s">
        <v>502</v>
      </c>
    </row>
    <row r="117" spans="1:2">
      <c r="A117" s="95" t="s">
        <v>503</v>
      </c>
      <c r="B117" s="95" t="s">
        <v>504</v>
      </c>
    </row>
    <row r="118" spans="1:2">
      <c r="A118" s="95" t="s">
        <v>505</v>
      </c>
      <c r="B118" s="95" t="s">
        <v>506</v>
      </c>
    </row>
    <row r="119" spans="1:2">
      <c r="A119" s="95" t="s">
        <v>507</v>
      </c>
      <c r="B119" s="95" t="s">
        <v>508</v>
      </c>
    </row>
    <row r="120" spans="1:2">
      <c r="A120" s="95" t="s">
        <v>509</v>
      </c>
      <c r="B120" s="95" t="s">
        <v>510</v>
      </c>
    </row>
    <row r="121" spans="1:2">
      <c r="A121" s="95" t="s">
        <v>511</v>
      </c>
      <c r="B121" s="95" t="s">
        <v>512</v>
      </c>
    </row>
    <row r="122" spans="1:2">
      <c r="A122" s="95" t="s">
        <v>513</v>
      </c>
      <c r="B122" s="95" t="s">
        <v>514</v>
      </c>
    </row>
    <row r="123" spans="1:2">
      <c r="A123" s="95" t="s">
        <v>515</v>
      </c>
      <c r="B123" s="95" t="s">
        <v>516</v>
      </c>
    </row>
    <row r="124" spans="1:2">
      <c r="A124" s="95" t="s">
        <v>517</v>
      </c>
      <c r="B124" s="95" t="s">
        <v>518</v>
      </c>
    </row>
    <row r="125" spans="1:2">
      <c r="A125" s="95" t="s">
        <v>519</v>
      </c>
      <c r="B125" s="95" t="s">
        <v>520</v>
      </c>
    </row>
    <row r="126" spans="1:2">
      <c r="A126" s="95" t="s">
        <v>521</v>
      </c>
      <c r="B126" s="95" t="s">
        <v>522</v>
      </c>
    </row>
    <row r="127" spans="1:2">
      <c r="A127" s="95" t="s">
        <v>523</v>
      </c>
      <c r="B127" s="95" t="s">
        <v>524</v>
      </c>
    </row>
    <row r="128" spans="1:2">
      <c r="A128" s="94" t="s">
        <v>525</v>
      </c>
      <c r="B128" s="97" t="s">
        <v>526</v>
      </c>
    </row>
    <row r="129" spans="1:2">
      <c r="A129" s="95" t="s">
        <v>527</v>
      </c>
      <c r="B129" s="97" t="s">
        <v>526</v>
      </c>
    </row>
    <row r="130" spans="1:2">
      <c r="A130" s="95" t="s">
        <v>528</v>
      </c>
      <c r="B130" s="97" t="s">
        <v>526</v>
      </c>
    </row>
    <row r="131" spans="1:2">
      <c r="A131" s="95" t="s">
        <v>529</v>
      </c>
      <c r="B131" s="97" t="s">
        <v>526</v>
      </c>
    </row>
  </sheetData>
  <conditionalFormatting sqref="A128">
    <cfRule type="duplicateValues" dxfId="0" priority="1"/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HC</vt:lpstr>
      <vt:lpstr>BU allocation</vt:lpstr>
      <vt:lpstr>Shipment volume</vt:lpstr>
      <vt:lpstr>Customer Volume-N&amp;S</vt:lpstr>
      <vt:lpstr>Customer Volume - HAD</vt:lpstr>
      <vt:lpstr>Customer Volume - HAN</vt:lpstr>
      <vt:lpstr>Customer Volume - HLC</vt:lpstr>
      <vt:lpstr>Customer Volume - HCM</vt:lpstr>
      <vt:lpstr>CS FTE</vt:lpstr>
      <vt:lpstr>C</vt:lpstr>
      <vt:lpstr>A</vt:lpstr>
      <vt:lpstr>S</vt:lpstr>
      <vt:lpstr>E</vt:lpstr>
      <vt:lpstr>Ghi chú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thuhuong.ngo(YLVN)</dc:creator>
  <cp:lastModifiedBy>nguyenbich.ngoc(YLVN)</cp:lastModifiedBy>
  <dcterms:created xsi:type="dcterms:W3CDTF">2026-08-07T06:32:50Z</dcterms:created>
  <dcterms:modified xsi:type="dcterms:W3CDTF">2026-08-09T09:12:15Z</dcterms:modified>
</cp:coreProperties>
</file>